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etri\Documents\Desktop\"/>
    </mc:Choice>
  </mc:AlternateContent>
  <xr:revisionPtr revIDLastSave="0" documentId="13_ncr:1_{D346EFC1-B3B4-4834-96D2-A0C7A00BC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ch_data" sheetId="1" r:id="rId1"/>
    <sheet name="Player_List" sheetId="2" r:id="rId2"/>
    <sheet name="Player_Trend_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" l="1" a="1"/>
  <c r="C4" i="4" s="1"/>
  <c r="AL8" i="4"/>
  <c r="B4" i="4" a="1"/>
  <c r="B4" i="4" s="1"/>
  <c r="A4" i="4" a="1"/>
  <c r="A4" i="4" s="1"/>
  <c r="AA22" i="1"/>
  <c r="AA23" i="1"/>
  <c r="AA24" i="1"/>
  <c r="AA25" i="1"/>
  <c r="AA42" i="1"/>
  <c r="AA43" i="1"/>
  <c r="AA44" i="1"/>
  <c r="AA45" i="1"/>
  <c r="AA62" i="1"/>
  <c r="AA63" i="1"/>
  <c r="AA64" i="1"/>
  <c r="AA65" i="1"/>
  <c r="AA82" i="1"/>
  <c r="AA83" i="1"/>
  <c r="AA84" i="1"/>
  <c r="AA85" i="1"/>
  <c r="AA102" i="1"/>
  <c r="AA103" i="1"/>
  <c r="AA104" i="1"/>
  <c r="AA105" i="1"/>
  <c r="AA122" i="1"/>
  <c r="AA123" i="1"/>
  <c r="AA124" i="1"/>
  <c r="AA125" i="1"/>
  <c r="AA142" i="1"/>
  <c r="AA143" i="1"/>
  <c r="AA144" i="1"/>
  <c r="AA145" i="1"/>
  <c r="AA160" i="1"/>
  <c r="AA161" i="1"/>
  <c r="AA162" i="1"/>
  <c r="AA163" i="1"/>
  <c r="AA164" i="1"/>
  <c r="AA165" i="1"/>
  <c r="AA182" i="1"/>
  <c r="AA183" i="1"/>
  <c r="AA184" i="1"/>
  <c r="AA1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AA28" i="1" s="1"/>
  <c r="U28" i="1"/>
  <c r="AA29" i="1" s="1"/>
  <c r="U29" i="1"/>
  <c r="AA30" i="1" s="1"/>
  <c r="U30" i="1"/>
  <c r="U31" i="1"/>
  <c r="U32" i="1"/>
  <c r="U33" i="1"/>
  <c r="U34" i="1"/>
  <c r="U35" i="1"/>
  <c r="U36" i="1"/>
  <c r="U37" i="1"/>
  <c r="U38" i="1"/>
  <c r="U39" i="1"/>
  <c r="U40" i="1"/>
  <c r="AA40" i="1" s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AA112" i="1" s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Z22" i="1"/>
  <c r="Z23" i="1"/>
  <c r="Z24" i="1"/>
  <c r="Z25" i="1"/>
  <c r="Z42" i="1"/>
  <c r="Z43" i="1"/>
  <c r="Z44" i="1"/>
  <c r="Z45" i="1"/>
  <c r="Z62" i="1"/>
  <c r="Z63" i="1"/>
  <c r="Z64" i="1"/>
  <c r="Z65" i="1"/>
  <c r="Z82" i="1"/>
  <c r="Z83" i="1"/>
  <c r="Z84" i="1"/>
  <c r="Z85" i="1"/>
  <c r="Z102" i="1"/>
  <c r="Z103" i="1"/>
  <c r="Z104" i="1"/>
  <c r="Z105" i="1"/>
  <c r="Z122" i="1"/>
  <c r="Z123" i="1"/>
  <c r="Z124" i="1"/>
  <c r="Z125" i="1"/>
  <c r="Z142" i="1"/>
  <c r="Z143" i="1"/>
  <c r="Z144" i="1"/>
  <c r="Z145" i="1"/>
  <c r="Z162" i="1"/>
  <c r="Z163" i="1"/>
  <c r="Z164" i="1"/>
  <c r="Z165" i="1"/>
  <c r="Z182" i="1"/>
  <c r="Z183" i="1"/>
  <c r="Z184" i="1"/>
  <c r="Z185" i="1"/>
  <c r="Y22" i="1"/>
  <c r="Y23" i="1"/>
  <c r="Y24" i="1"/>
  <c r="Y25" i="1"/>
  <c r="Y42" i="1"/>
  <c r="Y43" i="1"/>
  <c r="Y44" i="1"/>
  <c r="Y45" i="1"/>
  <c r="Y62" i="1"/>
  <c r="Y63" i="1"/>
  <c r="Y64" i="1"/>
  <c r="Y65" i="1"/>
  <c r="Y82" i="1"/>
  <c r="Y83" i="1"/>
  <c r="Y84" i="1"/>
  <c r="Y85" i="1"/>
  <c r="Y102" i="1"/>
  <c r="Y103" i="1"/>
  <c r="Y104" i="1"/>
  <c r="Y105" i="1"/>
  <c r="Y122" i="1"/>
  <c r="Y123" i="1"/>
  <c r="Y124" i="1"/>
  <c r="Y125" i="1"/>
  <c r="Y142" i="1"/>
  <c r="Y143" i="1"/>
  <c r="Y144" i="1"/>
  <c r="Y145" i="1"/>
  <c r="Y162" i="1"/>
  <c r="Y163" i="1"/>
  <c r="Y164" i="1"/>
  <c r="Y165" i="1"/>
  <c r="Y182" i="1"/>
  <c r="Y183" i="1"/>
  <c r="Y184" i="1"/>
  <c r="Y185" i="1"/>
  <c r="X22" i="1"/>
  <c r="X23" i="1"/>
  <c r="X24" i="1"/>
  <c r="X25" i="1"/>
  <c r="X42" i="1"/>
  <c r="X43" i="1"/>
  <c r="X44" i="1"/>
  <c r="X45" i="1"/>
  <c r="X62" i="1"/>
  <c r="X63" i="1"/>
  <c r="X64" i="1"/>
  <c r="X65" i="1"/>
  <c r="X82" i="1"/>
  <c r="X83" i="1"/>
  <c r="X84" i="1"/>
  <c r="X85" i="1"/>
  <c r="X102" i="1"/>
  <c r="X103" i="1"/>
  <c r="X104" i="1"/>
  <c r="X105" i="1"/>
  <c r="X122" i="1"/>
  <c r="X123" i="1"/>
  <c r="X124" i="1"/>
  <c r="X125" i="1"/>
  <c r="X142" i="1"/>
  <c r="X143" i="1"/>
  <c r="X144" i="1"/>
  <c r="X145" i="1"/>
  <c r="X162" i="1"/>
  <c r="X163" i="1"/>
  <c r="X164" i="1"/>
  <c r="X165" i="1"/>
  <c r="X182" i="1"/>
  <c r="X183" i="1"/>
  <c r="X184" i="1"/>
  <c r="X185" i="1"/>
  <c r="W22" i="1"/>
  <c r="W23" i="1"/>
  <c r="W24" i="1"/>
  <c r="W25" i="1"/>
  <c r="W42" i="1"/>
  <c r="W43" i="1"/>
  <c r="W44" i="1"/>
  <c r="W45" i="1"/>
  <c r="W62" i="1"/>
  <c r="W63" i="1"/>
  <c r="W64" i="1"/>
  <c r="W65" i="1"/>
  <c r="W82" i="1"/>
  <c r="W83" i="1"/>
  <c r="W84" i="1"/>
  <c r="W85" i="1"/>
  <c r="W102" i="1"/>
  <c r="W103" i="1"/>
  <c r="W104" i="1"/>
  <c r="W105" i="1"/>
  <c r="W122" i="1"/>
  <c r="W123" i="1"/>
  <c r="W124" i="1"/>
  <c r="W125" i="1"/>
  <c r="W142" i="1"/>
  <c r="W143" i="1"/>
  <c r="W144" i="1"/>
  <c r="W145" i="1"/>
  <c r="W162" i="1"/>
  <c r="W163" i="1"/>
  <c r="W164" i="1"/>
  <c r="W165" i="1"/>
  <c r="W182" i="1"/>
  <c r="W183" i="1"/>
  <c r="W184" i="1"/>
  <c r="W185" i="1"/>
  <c r="V42" i="1"/>
  <c r="V43" i="1"/>
  <c r="V44" i="1"/>
  <c r="V45" i="1"/>
  <c r="V62" i="1"/>
  <c r="V63" i="1"/>
  <c r="V64" i="1"/>
  <c r="V65" i="1"/>
  <c r="V82" i="1"/>
  <c r="V83" i="1"/>
  <c r="V84" i="1"/>
  <c r="V85" i="1"/>
  <c r="V102" i="1"/>
  <c r="V103" i="1"/>
  <c r="V104" i="1"/>
  <c r="V105" i="1"/>
  <c r="V122" i="1"/>
  <c r="V123" i="1"/>
  <c r="V124" i="1"/>
  <c r="V125" i="1"/>
  <c r="V142" i="1"/>
  <c r="V143" i="1"/>
  <c r="V144" i="1"/>
  <c r="V145" i="1"/>
  <c r="V162" i="1"/>
  <c r="V163" i="1"/>
  <c r="V164" i="1"/>
  <c r="V165" i="1"/>
  <c r="V182" i="1"/>
  <c r="V183" i="1"/>
  <c r="V184" i="1"/>
  <c r="V185" i="1"/>
  <c r="V25" i="1"/>
  <c r="V22" i="1"/>
  <c r="V23" i="1"/>
  <c r="V2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Q4" i="1"/>
  <c r="Q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AA55" i="1" l="1"/>
  <c r="AA186" i="1"/>
  <c r="AA138" i="1"/>
  <c r="AA54" i="1"/>
  <c r="AA137" i="1"/>
  <c r="AA53" i="1"/>
  <c r="AA136" i="1"/>
  <c r="AA52" i="1"/>
  <c r="Y99" i="1"/>
  <c r="AA79" i="1"/>
  <c r="Y186" i="1"/>
  <c r="Y159" i="1"/>
  <c r="AA197" i="1"/>
  <c r="AA187" i="1"/>
  <c r="AA174" i="1"/>
  <c r="AA148" i="1"/>
  <c r="AA139" i="1"/>
  <c r="AA113" i="1"/>
  <c r="AA100" i="1"/>
  <c r="AA89" i="1"/>
  <c r="AA76" i="1"/>
  <c r="AA67" i="1"/>
  <c r="AA41" i="1"/>
  <c r="AA31" i="1"/>
  <c r="AA17" i="1"/>
  <c r="AA7" i="1"/>
  <c r="AA198" i="1"/>
  <c r="AA90" i="1"/>
  <c r="AA66" i="1"/>
  <c r="AA18" i="1"/>
  <c r="AA173" i="1"/>
  <c r="AA172" i="1"/>
  <c r="AA195" i="1"/>
  <c r="AA171" i="1"/>
  <c r="AA159" i="1"/>
  <c r="AA147" i="1"/>
  <c r="AA135" i="1"/>
  <c r="AA111" i="1"/>
  <c r="AA99" i="1"/>
  <c r="AA87" i="1"/>
  <c r="AA75" i="1"/>
  <c r="AA51" i="1"/>
  <c r="AA39" i="1"/>
  <c r="AA27" i="1"/>
  <c r="AA15" i="1"/>
  <c r="Y161" i="1"/>
  <c r="AA101" i="1"/>
  <c r="AA193" i="1"/>
  <c r="AA181" i="1"/>
  <c r="AA169" i="1"/>
  <c r="AA157" i="1"/>
  <c r="AA133" i="1"/>
  <c r="AA121" i="1"/>
  <c r="AA109" i="1"/>
  <c r="AA97" i="1"/>
  <c r="AA73" i="1"/>
  <c r="AA61" i="1"/>
  <c r="AA49" i="1"/>
  <c r="AA37" i="1"/>
  <c r="AA13" i="1"/>
  <c r="Y126" i="1"/>
  <c r="AA192" i="1"/>
  <c r="AA168" i="1"/>
  <c r="AA156" i="1"/>
  <c r="AA12" i="1"/>
  <c r="Y29" i="1"/>
  <c r="AA167" i="1"/>
  <c r="AA119" i="1"/>
  <c r="AA95" i="1"/>
  <c r="AA166" i="1"/>
  <c r="AA106" i="1"/>
  <c r="Y27" i="1"/>
  <c r="AA153" i="1"/>
  <c r="AA93" i="1"/>
  <c r="AA200" i="1"/>
  <c r="AA140" i="1"/>
  <c r="AA92" i="1"/>
  <c r="AA199" i="1"/>
  <c r="AA91" i="1"/>
  <c r="AA19" i="1"/>
  <c r="Y90" i="1"/>
  <c r="AA180" i="1"/>
  <c r="AA60" i="1"/>
  <c r="AA178" i="1"/>
  <c r="AA130" i="1"/>
  <c r="AA189" i="1"/>
  <c r="AA129" i="1"/>
  <c r="AA81" i="1"/>
  <c r="AA78" i="1"/>
  <c r="AA176" i="1"/>
  <c r="AA128" i="1"/>
  <c r="AA68" i="1"/>
  <c r="Z199" i="1"/>
  <c r="Z187" i="1"/>
  <c r="Z175" i="1"/>
  <c r="Z151" i="1"/>
  <c r="Z139" i="1"/>
  <c r="Z127" i="1"/>
  <c r="Z115" i="1"/>
  <c r="Z91" i="1"/>
  <c r="Z79" i="1"/>
  <c r="Z67" i="1"/>
  <c r="Z55" i="1"/>
  <c r="Z31" i="1"/>
  <c r="Z19" i="1"/>
  <c r="Z7" i="1"/>
  <c r="AA132" i="1"/>
  <c r="AA108" i="1"/>
  <c r="AA96" i="1"/>
  <c r="AA72" i="1"/>
  <c r="AA48" i="1"/>
  <c r="AA36" i="1"/>
  <c r="Y89" i="1"/>
  <c r="AA191" i="1"/>
  <c r="AA179" i="1"/>
  <c r="AA155" i="1"/>
  <c r="AA107" i="1"/>
  <c r="AA71" i="1"/>
  <c r="AA47" i="1"/>
  <c r="AA35" i="1"/>
  <c r="AA11" i="1"/>
  <c r="Y87" i="1"/>
  <c r="AA190" i="1"/>
  <c r="AA154" i="1"/>
  <c r="AA118" i="1"/>
  <c r="AA94" i="1"/>
  <c r="AA70" i="1"/>
  <c r="AA58" i="1"/>
  <c r="AA46" i="1"/>
  <c r="AA34" i="1"/>
  <c r="AA10" i="1"/>
  <c r="AA151" i="1"/>
  <c r="AA127" i="1"/>
  <c r="AA201" i="1"/>
  <c r="AA177" i="1"/>
  <c r="AA141" i="1"/>
  <c r="AA117" i="1"/>
  <c r="AA69" i="1"/>
  <c r="AA57" i="1"/>
  <c r="AA33" i="1"/>
  <c r="AA21" i="1"/>
  <c r="AA9" i="1"/>
  <c r="AA150" i="1"/>
  <c r="AA126" i="1"/>
  <c r="AA188" i="1"/>
  <c r="AA152" i="1"/>
  <c r="AA116" i="1"/>
  <c r="AA80" i="1"/>
  <c r="AA56" i="1"/>
  <c r="AA32" i="1"/>
  <c r="AA20" i="1"/>
  <c r="AA8" i="1"/>
  <c r="AA175" i="1"/>
  <c r="AA149" i="1"/>
  <c r="AA77" i="1"/>
  <c r="V127" i="1"/>
  <c r="Y150" i="1"/>
  <c r="Y54" i="1"/>
  <c r="Z195" i="1"/>
  <c r="Z171" i="1"/>
  <c r="Z159" i="1"/>
  <c r="Z147" i="1"/>
  <c r="Z135" i="1"/>
  <c r="Z111" i="1"/>
  <c r="Z99" i="1"/>
  <c r="Z87" i="1"/>
  <c r="Z75" i="1"/>
  <c r="Z51" i="1"/>
  <c r="Z39" i="1"/>
  <c r="Z27" i="1"/>
  <c r="AA6" i="1"/>
  <c r="AA115" i="1"/>
  <c r="AA120" i="1"/>
  <c r="AA131" i="1"/>
  <c r="AA59" i="1"/>
  <c r="Y149" i="1"/>
  <c r="Y53" i="1"/>
  <c r="Z38" i="1"/>
  <c r="Z26" i="1"/>
  <c r="Z14" i="1"/>
  <c r="AA196" i="1"/>
  <c r="AA114" i="1"/>
  <c r="AA88" i="1"/>
  <c r="AA16" i="1"/>
  <c r="AA194" i="1"/>
  <c r="AA170" i="1"/>
  <c r="AA158" i="1"/>
  <c r="AA146" i="1"/>
  <c r="AA134" i="1"/>
  <c r="AA110" i="1"/>
  <c r="AA98" i="1"/>
  <c r="AA86" i="1"/>
  <c r="AA74" i="1"/>
  <c r="AA50" i="1"/>
  <c r="AA38" i="1"/>
  <c r="AA26" i="1"/>
  <c r="AA14" i="1"/>
  <c r="Z15" i="1"/>
  <c r="Z170" i="1"/>
  <c r="Z134" i="1"/>
  <c r="Z86" i="1"/>
  <c r="Y198" i="1"/>
  <c r="Z194" i="1"/>
  <c r="Z158" i="1"/>
  <c r="Z146" i="1"/>
  <c r="Z110" i="1"/>
  <c r="Z98" i="1"/>
  <c r="Z74" i="1"/>
  <c r="Z50" i="1"/>
  <c r="Y197" i="1"/>
  <c r="Y147" i="1"/>
  <c r="Y78" i="1"/>
  <c r="Z6" i="1"/>
  <c r="Z179" i="1"/>
  <c r="Z107" i="1"/>
  <c r="Z47" i="1"/>
  <c r="Y101" i="1"/>
  <c r="Y41" i="1"/>
  <c r="Z180" i="1"/>
  <c r="Z120" i="1"/>
  <c r="Z60" i="1"/>
  <c r="Z36" i="1"/>
  <c r="Y39" i="1"/>
  <c r="Y138" i="1"/>
  <c r="Y66" i="1"/>
  <c r="Y17" i="1"/>
  <c r="Z155" i="1"/>
  <c r="Z95" i="1"/>
  <c r="Z59" i="1"/>
  <c r="Z192" i="1"/>
  <c r="Z168" i="1"/>
  <c r="Z156" i="1"/>
  <c r="Z132" i="1"/>
  <c r="Z108" i="1"/>
  <c r="Z72" i="1"/>
  <c r="Z48" i="1"/>
  <c r="Z12" i="1"/>
  <c r="Z190" i="1"/>
  <c r="Z178" i="1"/>
  <c r="Z166" i="1"/>
  <c r="Z154" i="1"/>
  <c r="Z130" i="1"/>
  <c r="Z118" i="1"/>
  <c r="Z106" i="1"/>
  <c r="Z94" i="1"/>
  <c r="Z70" i="1"/>
  <c r="Z58" i="1"/>
  <c r="Z46" i="1"/>
  <c r="Z34" i="1"/>
  <c r="Z10" i="1"/>
  <c r="Y174" i="1"/>
  <c r="Y30" i="1"/>
  <c r="Z131" i="1"/>
  <c r="Z35" i="1"/>
  <c r="Y173" i="1"/>
  <c r="Y77" i="1"/>
  <c r="W197" i="1"/>
  <c r="X193" i="1"/>
  <c r="X157" i="1"/>
  <c r="X97" i="1"/>
  <c r="X49" i="1"/>
  <c r="Y193" i="1"/>
  <c r="Y157" i="1"/>
  <c r="Y109" i="1"/>
  <c r="Y97" i="1"/>
  <c r="Y73" i="1"/>
  <c r="Y61" i="1"/>
  <c r="Y37" i="1"/>
  <c r="Y13" i="1"/>
  <c r="Z201" i="1"/>
  <c r="Z186" i="1"/>
  <c r="Z174" i="1"/>
  <c r="Z150" i="1"/>
  <c r="Z138" i="1"/>
  <c r="Z126" i="1"/>
  <c r="Z114" i="1"/>
  <c r="Z90" i="1"/>
  <c r="Z78" i="1"/>
  <c r="Z69" i="1"/>
  <c r="Z54" i="1"/>
  <c r="Z33" i="1"/>
  <c r="Z18" i="1"/>
  <c r="Z9" i="1"/>
  <c r="Y114" i="1"/>
  <c r="Z191" i="1"/>
  <c r="Z167" i="1"/>
  <c r="Z119" i="1"/>
  <c r="Z71" i="1"/>
  <c r="Z11" i="1"/>
  <c r="Y137" i="1"/>
  <c r="Y113" i="1"/>
  <c r="Z96" i="1"/>
  <c r="V21" i="1"/>
  <c r="V9" i="1"/>
  <c r="W150" i="1"/>
  <c r="W89" i="1"/>
  <c r="W41" i="1"/>
  <c r="W17" i="1"/>
  <c r="X181" i="1"/>
  <c r="X169" i="1"/>
  <c r="X133" i="1"/>
  <c r="X121" i="1"/>
  <c r="X109" i="1"/>
  <c r="X73" i="1"/>
  <c r="X61" i="1"/>
  <c r="X37" i="1"/>
  <c r="X13" i="1"/>
  <c r="Y181" i="1"/>
  <c r="Y169" i="1"/>
  <c r="Y133" i="1"/>
  <c r="Y121" i="1"/>
  <c r="Y49" i="1"/>
  <c r="V20" i="1"/>
  <c r="V8" i="1"/>
  <c r="W40" i="1"/>
  <c r="X192" i="1"/>
  <c r="X180" i="1"/>
  <c r="X168" i="1"/>
  <c r="X156" i="1"/>
  <c r="X132" i="1"/>
  <c r="X120" i="1"/>
  <c r="X108" i="1"/>
  <c r="X96" i="1"/>
  <c r="X72" i="1"/>
  <c r="X60" i="1"/>
  <c r="X48" i="1"/>
  <c r="X36" i="1"/>
  <c r="X12" i="1"/>
  <c r="Z197" i="1"/>
  <c r="Z188" i="1"/>
  <c r="Z176" i="1"/>
  <c r="Z161" i="1"/>
  <c r="Z149" i="1"/>
  <c r="Z137" i="1"/>
  <c r="Z128" i="1"/>
  <c r="Z113" i="1"/>
  <c r="Z101" i="1"/>
  <c r="Z89" i="1"/>
  <c r="Z77" i="1"/>
  <c r="Z68" i="1"/>
  <c r="Z56" i="1"/>
  <c r="Z41" i="1"/>
  <c r="Z32" i="1"/>
  <c r="Z17" i="1"/>
  <c r="Z8" i="1"/>
  <c r="Z160" i="1"/>
  <c r="Z100" i="1"/>
  <c r="Z40" i="1"/>
  <c r="Z66" i="1"/>
  <c r="Z193" i="1"/>
  <c r="Z181" i="1"/>
  <c r="Z169" i="1"/>
  <c r="Z157" i="1"/>
  <c r="Z133" i="1"/>
  <c r="Z121" i="1"/>
  <c r="Z109" i="1"/>
  <c r="Z97" i="1"/>
  <c r="Z73" i="1"/>
  <c r="Z61" i="1"/>
  <c r="Z49" i="1"/>
  <c r="Z37" i="1"/>
  <c r="Z13" i="1"/>
  <c r="V187" i="1"/>
  <c r="V139" i="1"/>
  <c r="V115" i="1"/>
  <c r="V79" i="1"/>
  <c r="V31" i="1"/>
  <c r="W171" i="1"/>
  <c r="W99" i="1"/>
  <c r="W51" i="1"/>
  <c r="Y199" i="1"/>
  <c r="Y187" i="1"/>
  <c r="Y175" i="1"/>
  <c r="Y151" i="1"/>
  <c r="Y139" i="1"/>
  <c r="Y127" i="1"/>
  <c r="Y115" i="1"/>
  <c r="Y91" i="1"/>
  <c r="Y79" i="1"/>
  <c r="Y67" i="1"/>
  <c r="Y55" i="1"/>
  <c r="Y31" i="1"/>
  <c r="Y19" i="1"/>
  <c r="Y7" i="1"/>
  <c r="Y18" i="1"/>
  <c r="Z30" i="1"/>
  <c r="V33" i="1"/>
  <c r="Z29" i="1"/>
  <c r="Z28" i="1"/>
  <c r="Z198" i="1"/>
  <c r="Z173" i="1"/>
  <c r="Z53" i="1"/>
  <c r="Z52" i="1"/>
  <c r="V55" i="1"/>
  <c r="X138" i="1"/>
  <c r="Y196" i="1"/>
  <c r="Y171" i="1"/>
  <c r="Y111" i="1"/>
  <c r="Y51" i="1"/>
  <c r="Z189" i="1"/>
  <c r="Z177" i="1"/>
  <c r="Z153" i="1"/>
  <c r="Z141" i="1"/>
  <c r="Z129" i="1"/>
  <c r="Z117" i="1"/>
  <c r="Z93" i="1"/>
  <c r="Z81" i="1"/>
  <c r="Z57" i="1"/>
  <c r="Z21" i="1"/>
  <c r="V57" i="1"/>
  <c r="Z172" i="1"/>
  <c r="W147" i="1"/>
  <c r="Z200" i="1"/>
  <c r="Z152" i="1"/>
  <c r="Z140" i="1"/>
  <c r="Z116" i="1"/>
  <c r="Z92" i="1"/>
  <c r="Z80" i="1"/>
  <c r="Z20" i="1"/>
  <c r="V130" i="1"/>
  <c r="W149" i="1"/>
  <c r="W77" i="1"/>
  <c r="Z196" i="1"/>
  <c r="Z148" i="1"/>
  <c r="Z136" i="1"/>
  <c r="Z112" i="1"/>
  <c r="Z88" i="1"/>
  <c r="Z76" i="1"/>
  <c r="Z16" i="1"/>
  <c r="W75" i="1"/>
  <c r="V6" i="1"/>
  <c r="Y6" i="1"/>
  <c r="Y192" i="1"/>
  <c r="Y36" i="1"/>
  <c r="V56" i="1"/>
  <c r="W148" i="1"/>
  <c r="W76" i="1"/>
  <c r="Y191" i="1"/>
  <c r="Y179" i="1"/>
  <c r="Y167" i="1"/>
  <c r="Y155" i="1"/>
  <c r="Y131" i="1"/>
  <c r="Y119" i="1"/>
  <c r="Y107" i="1"/>
  <c r="Y95" i="1"/>
  <c r="Y71" i="1"/>
  <c r="Y59" i="1"/>
  <c r="Y47" i="1"/>
  <c r="Y35" i="1"/>
  <c r="Y11" i="1"/>
  <c r="Y96" i="1"/>
  <c r="Y190" i="1"/>
  <c r="W113" i="1"/>
  <c r="Y168" i="1"/>
  <c r="Y108" i="1"/>
  <c r="Y60" i="1"/>
  <c r="Y12" i="1"/>
  <c r="V129" i="1"/>
  <c r="V106" i="1"/>
  <c r="W174" i="1"/>
  <c r="W126" i="1"/>
  <c r="Y166" i="1"/>
  <c r="Y130" i="1"/>
  <c r="Y94" i="1"/>
  <c r="Y58" i="1"/>
  <c r="Y10" i="1"/>
  <c r="V141" i="1"/>
  <c r="V81" i="1"/>
  <c r="W101" i="1"/>
  <c r="Y201" i="1"/>
  <c r="Y177" i="1"/>
  <c r="Y129" i="1"/>
  <c r="Y81" i="1"/>
  <c r="Y57" i="1"/>
  <c r="Y21" i="1"/>
  <c r="V188" i="1"/>
  <c r="V116" i="1"/>
  <c r="W172" i="1"/>
  <c r="Y200" i="1"/>
  <c r="Y176" i="1"/>
  <c r="Y152" i="1"/>
  <c r="Y128" i="1"/>
  <c r="Y116" i="1"/>
  <c r="Y80" i="1"/>
  <c r="Y56" i="1"/>
  <c r="Y20" i="1"/>
  <c r="Y8" i="1"/>
  <c r="W78" i="1"/>
  <c r="Y156" i="1"/>
  <c r="Y178" i="1"/>
  <c r="Y46" i="1"/>
  <c r="Y93" i="1"/>
  <c r="Y68" i="1"/>
  <c r="X52" i="1"/>
  <c r="Y132" i="1"/>
  <c r="Y118" i="1"/>
  <c r="Y141" i="1"/>
  <c r="V128" i="1"/>
  <c r="Y32" i="1"/>
  <c r="X197" i="1"/>
  <c r="X160" i="1"/>
  <c r="X112" i="1"/>
  <c r="X89" i="1"/>
  <c r="X40" i="1"/>
  <c r="Y170" i="1"/>
  <c r="Y172" i="1"/>
  <c r="Y158" i="1"/>
  <c r="Y160" i="1"/>
  <c r="Y134" i="1"/>
  <c r="Y136" i="1"/>
  <c r="Y110" i="1"/>
  <c r="Y112" i="1"/>
  <c r="Y74" i="1"/>
  <c r="Y76" i="1"/>
  <c r="Y38" i="1"/>
  <c r="Y40" i="1"/>
  <c r="V58" i="1"/>
  <c r="Y195" i="1"/>
  <c r="Y180" i="1"/>
  <c r="Y120" i="1"/>
  <c r="Y72" i="1"/>
  <c r="Y48" i="1"/>
  <c r="V34" i="1"/>
  <c r="Y154" i="1"/>
  <c r="Y106" i="1"/>
  <c r="Y70" i="1"/>
  <c r="Y34" i="1"/>
  <c r="V117" i="1"/>
  <c r="W173" i="1"/>
  <c r="Y189" i="1"/>
  <c r="Y153" i="1"/>
  <c r="Y117" i="1"/>
  <c r="Y69" i="1"/>
  <c r="Y33" i="1"/>
  <c r="Y9" i="1"/>
  <c r="V140" i="1"/>
  <c r="V80" i="1"/>
  <c r="W100" i="1"/>
  <c r="Y188" i="1"/>
  <c r="Y140" i="1"/>
  <c r="Y92" i="1"/>
  <c r="V12" i="1"/>
  <c r="X172" i="1"/>
  <c r="X100" i="1"/>
  <c r="X28" i="1"/>
  <c r="Y146" i="1"/>
  <c r="Y148" i="1"/>
  <c r="Y98" i="1"/>
  <c r="Y100" i="1"/>
  <c r="Y86" i="1"/>
  <c r="Y88" i="1"/>
  <c r="Y50" i="1"/>
  <c r="Y52" i="1"/>
  <c r="Y26" i="1"/>
  <c r="Y28" i="1"/>
  <c r="Y14" i="1"/>
  <c r="Y16" i="1"/>
  <c r="Y194" i="1"/>
  <c r="Y135" i="1"/>
  <c r="Y75" i="1"/>
  <c r="Y15" i="1"/>
  <c r="X159" i="1"/>
  <c r="X99" i="1"/>
  <c r="X39" i="1"/>
  <c r="V32" i="1"/>
  <c r="V10" i="1"/>
  <c r="W198" i="1"/>
  <c r="W66" i="1"/>
  <c r="W18" i="1"/>
  <c r="X194" i="1"/>
  <c r="X170" i="1"/>
  <c r="X158" i="1"/>
  <c r="X146" i="1"/>
  <c r="X134" i="1"/>
  <c r="X110" i="1"/>
  <c r="X98" i="1"/>
  <c r="X86" i="1"/>
  <c r="X74" i="1"/>
  <c r="X50" i="1"/>
  <c r="X38" i="1"/>
  <c r="X26" i="1"/>
  <c r="X14" i="1"/>
  <c r="V177" i="1"/>
  <c r="W30" i="1"/>
  <c r="W137" i="1"/>
  <c r="W53" i="1"/>
  <c r="W29" i="1"/>
  <c r="V201" i="1"/>
  <c r="V166" i="1"/>
  <c r="V69" i="1"/>
  <c r="W186" i="1"/>
  <c r="V93" i="1"/>
  <c r="W161" i="1"/>
  <c r="V200" i="1"/>
  <c r="V176" i="1"/>
  <c r="V92" i="1"/>
  <c r="V68" i="1"/>
  <c r="W160" i="1"/>
  <c r="W136" i="1"/>
  <c r="W112" i="1"/>
  <c r="W52" i="1"/>
  <c r="W28" i="1"/>
  <c r="V94" i="1"/>
  <c r="W111" i="1"/>
  <c r="V199" i="1"/>
  <c r="V67" i="1"/>
  <c r="W87" i="1"/>
  <c r="W39" i="1"/>
  <c r="W27" i="1"/>
  <c r="W15" i="1"/>
  <c r="X191" i="1"/>
  <c r="X179" i="1"/>
  <c r="X167" i="1"/>
  <c r="X155" i="1"/>
  <c r="X131" i="1"/>
  <c r="X119" i="1"/>
  <c r="X107" i="1"/>
  <c r="X95" i="1"/>
  <c r="X71" i="1"/>
  <c r="X59" i="1"/>
  <c r="X47" i="1"/>
  <c r="X35" i="1"/>
  <c r="X11" i="1"/>
  <c r="V175" i="1"/>
  <c r="V91" i="1"/>
  <c r="V198" i="1"/>
  <c r="V186" i="1"/>
  <c r="V174" i="1"/>
  <c r="V150" i="1"/>
  <c r="V138" i="1"/>
  <c r="V126" i="1"/>
  <c r="V114" i="1"/>
  <c r="V90" i="1"/>
  <c r="V78" i="1"/>
  <c r="V66" i="1"/>
  <c r="V54" i="1"/>
  <c r="V30" i="1"/>
  <c r="V18" i="1"/>
  <c r="W6" i="1"/>
  <c r="W194" i="1"/>
  <c r="W170" i="1"/>
  <c r="W158" i="1"/>
  <c r="W146" i="1"/>
  <c r="W134" i="1"/>
  <c r="W110" i="1"/>
  <c r="W98" i="1"/>
  <c r="W86" i="1"/>
  <c r="W74" i="1"/>
  <c r="W50" i="1"/>
  <c r="W38" i="1"/>
  <c r="W26" i="1"/>
  <c r="W14" i="1"/>
  <c r="X190" i="1"/>
  <c r="X178" i="1"/>
  <c r="X166" i="1"/>
  <c r="X154" i="1"/>
  <c r="X130" i="1"/>
  <c r="X118" i="1"/>
  <c r="X106" i="1"/>
  <c r="X94" i="1"/>
  <c r="X70" i="1"/>
  <c r="X58" i="1"/>
  <c r="X46" i="1"/>
  <c r="X34" i="1"/>
  <c r="X10" i="1"/>
  <c r="V190" i="1"/>
  <c r="V118" i="1"/>
  <c r="V46" i="1"/>
  <c r="W138" i="1"/>
  <c r="W54" i="1"/>
  <c r="V189" i="1"/>
  <c r="V151" i="1"/>
  <c r="W195" i="1"/>
  <c r="W159" i="1"/>
  <c r="W135" i="1"/>
  <c r="V197" i="1"/>
  <c r="V173" i="1"/>
  <c r="V161" i="1"/>
  <c r="V149" i="1"/>
  <c r="V137" i="1"/>
  <c r="V113" i="1"/>
  <c r="V101" i="1"/>
  <c r="V89" i="1"/>
  <c r="V77" i="1"/>
  <c r="V53" i="1"/>
  <c r="V41" i="1"/>
  <c r="V29" i="1"/>
  <c r="V13" i="1"/>
  <c r="W193" i="1"/>
  <c r="W181" i="1"/>
  <c r="W169" i="1"/>
  <c r="W157" i="1"/>
  <c r="W133" i="1"/>
  <c r="W121" i="1"/>
  <c r="W109" i="1"/>
  <c r="W97" i="1"/>
  <c r="W73" i="1"/>
  <c r="W61" i="1"/>
  <c r="W49" i="1"/>
  <c r="W37" i="1"/>
  <c r="W13" i="1"/>
  <c r="X201" i="1"/>
  <c r="X189" i="1"/>
  <c r="X177" i="1"/>
  <c r="X161" i="1"/>
  <c r="X153" i="1"/>
  <c r="X141" i="1"/>
  <c r="X129" i="1"/>
  <c r="X117" i="1"/>
  <c r="X101" i="1"/>
  <c r="X93" i="1"/>
  <c r="X81" i="1"/>
  <c r="X69" i="1"/>
  <c r="X57" i="1"/>
  <c r="X41" i="1"/>
  <c r="X33" i="1"/>
  <c r="X21" i="1"/>
  <c r="X9" i="1"/>
  <c r="X186" i="1"/>
  <c r="V148" i="1"/>
  <c r="V76" i="1"/>
  <c r="W192" i="1"/>
  <c r="W120" i="1"/>
  <c r="W12" i="1"/>
  <c r="X152" i="1"/>
  <c r="X20" i="1"/>
  <c r="V171" i="1"/>
  <c r="V75" i="1"/>
  <c r="W191" i="1"/>
  <c r="W95" i="1"/>
  <c r="X151" i="1"/>
  <c r="X31" i="1"/>
  <c r="X29" i="1"/>
  <c r="X88" i="1"/>
  <c r="X174" i="1"/>
  <c r="X114" i="1"/>
  <c r="X173" i="1"/>
  <c r="X113" i="1"/>
  <c r="X53" i="1"/>
  <c r="X6" i="1"/>
  <c r="X126" i="1"/>
  <c r="V196" i="1"/>
  <c r="V136" i="1"/>
  <c r="V88" i="1"/>
  <c r="V28" i="1"/>
  <c r="W156" i="1"/>
  <c r="W108" i="1"/>
  <c r="W60" i="1"/>
  <c r="X176" i="1"/>
  <c r="X128" i="1"/>
  <c r="X80" i="1"/>
  <c r="V195" i="1"/>
  <c r="V135" i="1"/>
  <c r="V99" i="1"/>
  <c r="V51" i="1"/>
  <c r="V15" i="1"/>
  <c r="W167" i="1"/>
  <c r="W71" i="1"/>
  <c r="X175" i="1"/>
  <c r="X127" i="1"/>
  <c r="X91" i="1"/>
  <c r="X30" i="1"/>
  <c r="X148" i="1"/>
  <c r="X198" i="1"/>
  <c r="X78" i="1"/>
  <c r="X18" i="1"/>
  <c r="X66" i="1"/>
  <c r="V172" i="1"/>
  <c r="V112" i="1"/>
  <c r="V52" i="1"/>
  <c r="W168" i="1"/>
  <c r="W132" i="1"/>
  <c r="W72" i="1"/>
  <c r="W36" i="1"/>
  <c r="X188" i="1"/>
  <c r="X140" i="1"/>
  <c r="X92" i="1"/>
  <c r="X56" i="1"/>
  <c r="X8" i="1"/>
  <c r="V159" i="1"/>
  <c r="V87" i="1"/>
  <c r="V27" i="1"/>
  <c r="W155" i="1"/>
  <c r="W119" i="1"/>
  <c r="X199" i="1"/>
  <c r="X115" i="1"/>
  <c r="X79" i="1"/>
  <c r="X55" i="1"/>
  <c r="X7" i="1"/>
  <c r="X150" i="1"/>
  <c r="X90" i="1"/>
  <c r="X149" i="1"/>
  <c r="X54" i="1"/>
  <c r="X137" i="1"/>
  <c r="X77" i="1"/>
  <c r="X17" i="1"/>
  <c r="V160" i="1"/>
  <c r="V100" i="1"/>
  <c r="V40" i="1"/>
  <c r="W180" i="1"/>
  <c r="W96" i="1"/>
  <c r="W48" i="1"/>
  <c r="X200" i="1"/>
  <c r="X116" i="1"/>
  <c r="X68" i="1"/>
  <c r="X32" i="1"/>
  <c r="V147" i="1"/>
  <c r="V111" i="1"/>
  <c r="V39" i="1"/>
  <c r="W179" i="1"/>
  <c r="W131" i="1"/>
  <c r="W107" i="1"/>
  <c r="W35" i="1"/>
  <c r="X187" i="1"/>
  <c r="X139" i="1"/>
  <c r="X67" i="1"/>
  <c r="X19" i="1"/>
  <c r="X196" i="1"/>
  <c r="X136" i="1"/>
  <c r="X76" i="1"/>
  <c r="X16" i="1"/>
  <c r="W47" i="1"/>
  <c r="X75" i="1"/>
  <c r="X15" i="1"/>
  <c r="V158" i="1"/>
  <c r="V74" i="1"/>
  <c r="W190" i="1"/>
  <c r="W118" i="1"/>
  <c r="W46" i="1"/>
  <c r="V169" i="1"/>
  <c r="V97" i="1"/>
  <c r="W117" i="1"/>
  <c r="W33" i="1"/>
  <c r="V180" i="1"/>
  <c r="V72" i="1"/>
  <c r="W140" i="1"/>
  <c r="W80" i="1"/>
  <c r="W7" i="1"/>
  <c r="V191" i="1"/>
  <c r="V131" i="1"/>
  <c r="V95" i="1"/>
  <c r="V71" i="1"/>
  <c r="V35" i="1"/>
  <c r="W199" i="1"/>
  <c r="W187" i="1"/>
  <c r="W175" i="1"/>
  <c r="W151" i="1"/>
  <c r="W139" i="1"/>
  <c r="W127" i="1"/>
  <c r="W115" i="1"/>
  <c r="W91" i="1"/>
  <c r="W79" i="1"/>
  <c r="W67" i="1"/>
  <c r="W55" i="1"/>
  <c r="W31" i="1"/>
  <c r="W19" i="1"/>
  <c r="W8" i="1"/>
  <c r="V178" i="1"/>
  <c r="V70" i="1"/>
  <c r="X195" i="1"/>
  <c r="X147" i="1"/>
  <c r="V98" i="1"/>
  <c r="V50" i="1"/>
  <c r="V38" i="1"/>
  <c r="W166" i="1"/>
  <c r="W130" i="1"/>
  <c r="W10" i="1"/>
  <c r="V181" i="1"/>
  <c r="V121" i="1"/>
  <c r="V61" i="1"/>
  <c r="V37" i="1"/>
  <c r="W189" i="1"/>
  <c r="W129" i="1"/>
  <c r="W69" i="1"/>
  <c r="V192" i="1"/>
  <c r="V156" i="1"/>
  <c r="V132" i="1"/>
  <c r="V108" i="1"/>
  <c r="V60" i="1"/>
  <c r="V36" i="1"/>
  <c r="W200" i="1"/>
  <c r="W176" i="1"/>
  <c r="W128" i="1"/>
  <c r="W92" i="1"/>
  <c r="W56" i="1"/>
  <c r="W20" i="1"/>
  <c r="V152" i="1"/>
  <c r="W196" i="1"/>
  <c r="W16" i="1"/>
  <c r="W59" i="1"/>
  <c r="X135" i="1"/>
  <c r="X87" i="1"/>
  <c r="X27" i="1"/>
  <c r="V194" i="1"/>
  <c r="V146" i="1"/>
  <c r="V110" i="1"/>
  <c r="W154" i="1"/>
  <c r="W94" i="1"/>
  <c r="W58" i="1"/>
  <c r="V154" i="1"/>
  <c r="W90" i="1"/>
  <c r="V193" i="1"/>
  <c r="V109" i="1"/>
  <c r="V49" i="1"/>
  <c r="W201" i="1"/>
  <c r="W153" i="1"/>
  <c r="W93" i="1"/>
  <c r="W21" i="1"/>
  <c r="V179" i="1"/>
  <c r="V155" i="1"/>
  <c r="V119" i="1"/>
  <c r="V107" i="1"/>
  <c r="V59" i="1"/>
  <c r="W11" i="1"/>
  <c r="X171" i="1"/>
  <c r="X111" i="1"/>
  <c r="X51" i="1"/>
  <c r="V170" i="1"/>
  <c r="V134" i="1"/>
  <c r="V86" i="1"/>
  <c r="V26" i="1"/>
  <c r="W178" i="1"/>
  <c r="W106" i="1"/>
  <c r="W70" i="1"/>
  <c r="W34" i="1"/>
  <c r="V157" i="1"/>
  <c r="V133" i="1"/>
  <c r="V73" i="1"/>
  <c r="W177" i="1"/>
  <c r="W141" i="1"/>
  <c r="W81" i="1"/>
  <c r="W57" i="1"/>
  <c r="W9" i="1"/>
  <c r="V153" i="1"/>
  <c r="W114" i="1"/>
  <c r="V168" i="1"/>
  <c r="V120" i="1"/>
  <c r="V96" i="1"/>
  <c r="V48" i="1"/>
  <c r="W188" i="1"/>
  <c r="W152" i="1"/>
  <c r="W116" i="1"/>
  <c r="W68" i="1"/>
  <c r="W32" i="1"/>
  <c r="W88" i="1"/>
  <c r="V167" i="1"/>
  <c r="V47" i="1"/>
  <c r="V19" i="1"/>
  <c r="V7" i="1"/>
  <c r="V14" i="1"/>
  <c r="V11" i="1"/>
  <c r="V17" i="1"/>
  <c r="V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<sst xmlns="http://schemas.openxmlformats.org/spreadsheetml/2006/main" count="867" uniqueCount="253">
  <si>
    <t>Match_ID</t>
  </si>
  <si>
    <t>Player_ID</t>
  </si>
  <si>
    <t>Player_Name</t>
  </si>
  <si>
    <t>Age</t>
  </si>
  <si>
    <t>Position</t>
  </si>
  <si>
    <t>Match_Date</t>
  </si>
  <si>
    <t>Minutes_Played</t>
  </si>
  <si>
    <t>Goals</t>
  </si>
  <si>
    <t>Assists</t>
  </si>
  <si>
    <t>Key_Passes</t>
  </si>
  <si>
    <t>Shots</t>
  </si>
  <si>
    <t>Successful_Dribbles</t>
  </si>
  <si>
    <t>Duels_Won</t>
  </si>
  <si>
    <t>Pass_Accuracy</t>
  </si>
  <si>
    <t>Distance_Covered_km</t>
  </si>
  <si>
    <t>P01</t>
  </si>
  <si>
    <t>Player 1</t>
  </si>
  <si>
    <t>Forward</t>
  </si>
  <si>
    <t>P02</t>
  </si>
  <si>
    <t>Player 2</t>
  </si>
  <si>
    <t>Midfielder</t>
  </si>
  <si>
    <t>P03</t>
  </si>
  <si>
    <t>Player 3</t>
  </si>
  <si>
    <t>Defender</t>
  </si>
  <si>
    <t>P04</t>
  </si>
  <si>
    <t>Player 4</t>
  </si>
  <si>
    <t>Winger</t>
  </si>
  <si>
    <t>P05</t>
  </si>
  <si>
    <t>Player 5</t>
  </si>
  <si>
    <t>P06</t>
  </si>
  <si>
    <t>Player 6</t>
  </si>
  <si>
    <t>P07</t>
  </si>
  <si>
    <t>Player 7</t>
  </si>
  <si>
    <t>P08</t>
  </si>
  <si>
    <t>Player 8</t>
  </si>
  <si>
    <t>P09</t>
  </si>
  <si>
    <t>Player 9</t>
  </si>
  <si>
    <t>P10</t>
  </si>
  <si>
    <t>Player 10</t>
  </si>
  <si>
    <t>Goals_per_90</t>
  </si>
  <si>
    <t>Assists_per_90</t>
  </si>
  <si>
    <t>Key_passes_per_90</t>
  </si>
  <si>
    <t>Shots_per_90</t>
  </si>
  <si>
    <t>Dribbles_per_90</t>
  </si>
  <si>
    <t>Duels_per_90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</si>
  <si>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</si>
  <si>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</si>
  <si>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</si>
  <si>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</si>
  <si>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</si>
  <si>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</si>
  <si>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</si>
  <si>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</si>
  <si>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</si>
  <si>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</si>
  <si>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</si>
  <si>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</si>
  <si>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</si>
  <si>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</si>
  <si>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</si>
  <si>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</si>
  <si>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</si>
  <si>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</si>
  <si>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</si>
  <si>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</si>
  <si>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</si>
  <si>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</si>
  <si>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</si>
  <si>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</si>
  <si>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</si>
  <si>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</si>
  <si>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</si>
  <si>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</si>
  <si>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</si>
  <si>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</si>
  <si>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</si>
  <si>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</si>
  <si>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</si>
  <si>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</si>
  <si>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</si>
  <si>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</si>
  <si>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</si>
  <si>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</si>
  <si>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</si>
  <si>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</si>
  <si>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</si>
  <si>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</si>
  <si>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</si>
  <si>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</si>
  <si>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</si>
  <si>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</si>
  <si>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</si>
  <si>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</si>
  <si>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</si>
  <si>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</si>
  <si>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</si>
  <si>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</si>
  <si>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</si>
  <si>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</si>
  <si>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</si>
  <si>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</si>
  <si>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</si>
  <si>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</si>
  <si>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</si>
  <si>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</si>
  <si>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</si>
  <si>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</si>
  <si>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</si>
  <si>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</si>
  <si>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</si>
  <si>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</si>
  <si>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</si>
  <si>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</si>
  <si>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</si>
  <si>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</si>
  <si>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</si>
  <si>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</si>
  <si>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</si>
  <si>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</si>
  <si>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</si>
  <si>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</si>
  <si>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</si>
  <si>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</si>
  <si>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</si>
  <si>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</si>
  <si>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</si>
  <si>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</si>
  <si>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</si>
  <si>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</si>
  <si>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</si>
  <si>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</si>
  <si>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</si>
  <si>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</si>
  <si>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</si>
  <si>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</si>
  <si>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</si>
  <si>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</si>
  <si>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</si>
  <si>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</si>
  <si>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</si>
  <si>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</si>
  <si>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</si>
  <si>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</si>
  <si>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</si>
  <si>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</si>
  <si>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</si>
  <si>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</si>
  <si>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</si>
  <si>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</si>
  <si>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</si>
  <si>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</si>
  <si>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</si>
  <si>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</si>
  <si>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</si>
  <si>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</si>
  <si>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</si>
  <si>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</si>
  <si>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</si>
  <si>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</si>
  <si>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</si>
  <si>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</si>
  <si>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</si>
  <si>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</si>
  <si>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</si>
  <si>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</si>
  <si>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</si>
  <si>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</si>
  <si>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</si>
  <si>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</si>
  <si>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</si>
  <si>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</si>
  <si>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</si>
  <si>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</si>
  <si>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</si>
  <si>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</si>
  <si>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</si>
  <si>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</si>
  <si>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</si>
  <si>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</si>
  <si>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</si>
  <si>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</si>
  <si>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</si>
  <si>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</si>
  <si>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</si>
  <si>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</si>
  <si>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</si>
  <si>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</si>
  <si>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</si>
  <si>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</si>
  <si>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</si>
  <si>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</si>
  <si>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</si>
  <si>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</si>
  <si>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</si>
  <si>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</si>
  <si>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</si>
  <si>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</si>
  <si>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</si>
  <si>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</si>
  <si>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</si>
  <si>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</si>
  <si>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</si>
  <si>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</si>
  <si>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</si>
  <si>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</si>
  <si>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</si>
  <si>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</si>
  <si>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</si>
  <si>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</si>
  <si>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</si>
  <si>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</si>
  <si>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</si>
  <si>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</si>
  <si>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</si>
  <si>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</si>
  <si>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</si>
  <si>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</si>
  <si>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</si>
  <si>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</si>
  <si>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</si>
  <si>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</si>
  <si>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</si>
  <si>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</si>
  <si>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</si>
  <si>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</si>
  <si>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</si>
  <si>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</si>
  <si>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</si>
  <si>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</si>
  <si>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</si>
  <si>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</si>
  <si>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</si>
  <si>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</si>
  <si>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</si>
  <si>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</si>
  <si>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</si>
  <si>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</si>
  <si>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</si>
  <si>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</si>
  <si>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</si>
  <si>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</si>
  <si>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</si>
  <si>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</si>
  <si>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</si>
  <si>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</si>
  <si>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Goals90_Rolling5</t>
  </si>
  <si>
    <t>Assists90_Rolling5</t>
  </si>
  <si>
    <t>KeyPasses90_Rolling5</t>
  </si>
  <si>
    <t>Shots90_Rolling5</t>
  </si>
  <si>
    <t>Dribbles90_Rolling5</t>
  </si>
  <si>
    <t>Duels90_Rolling5</t>
  </si>
  <si>
    <t>Select Player</t>
  </si>
  <si>
    <t>HELPER: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</si>
</sst>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14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2" borderId="0" xfId="0" applyFont="1" applyFill="1"/>
    <xf numFmtId="0" fontId="4" fillId="0" borderId="0" xfId="0" applyFont="1" applyBorder="1"/>
    <xf numFmtId="0" fontId="5" fillId="0" borderId="0" xfId="0" applyFont="1"/>
    <xf numFmtId="0" fontId="3" fillId="0" borderId="0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Player_Trend_Analysis!$AL$8</c:f>
          <c:strCache>
            <c:ptCount val="1"/>
            <c:pt idx="0">
              <c:v>Goals per 90 - Rolling 5 Match Average (P01)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Player_Trend_Analysis!$B$3</c:f>
              <c:strCache>
                <c:ptCount val="1"/>
                <c:pt idx="0">
                  <c:v>Goals90_Rolling5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Player_Trend_Analysis!$A$4:$A$23</c15:sqref>
                  </c15:fullRef>
                </c:ext>
              </c:extLst>
              <c:f>Player_Trend_Analysis!$A$8:$A$23</c:f>
              <c:numCache>
                <c:formatCode>m/d/yyyy</c:formatCode>
                <c:ptCount val="16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  <c:pt idx="5">
                  <c:v>45667</c:v>
                </c:pt>
                <c:pt idx="6">
                  <c:v>45668</c:v>
                </c:pt>
                <c:pt idx="7">
                  <c:v>45669</c:v>
                </c:pt>
                <c:pt idx="8">
                  <c:v>45670</c:v>
                </c:pt>
                <c:pt idx="9">
                  <c:v>45671</c:v>
                </c:pt>
                <c:pt idx="10">
                  <c:v>45672</c:v>
                </c:pt>
                <c:pt idx="11">
                  <c:v>45673</c:v>
                </c:pt>
                <c:pt idx="12">
                  <c:v>45674</c:v>
                </c:pt>
                <c:pt idx="13">
                  <c:v>45675</c:v>
                </c:pt>
                <c:pt idx="14">
                  <c:v>45676</c:v>
                </c:pt>
                <c:pt idx="15">
                  <c:v>45677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Player_Trend_Analysis!$B$4:$B$23</c15:sqref>
                  </c15:fullRef>
                </c:ext>
              </c:extLst>
              <c:f>Player_Trend_Analysis!$B$8:$B$23</c:f>
              <c:numCache>
                <c:formatCode>0</c:formatCode>
                <c:ptCount val="16"/>
                <c:pt idx="0" formatCode="0.00">
                  <c:v>2.8817610960468101</c:v>
                </c:pt>
                <c:pt idx="1" formatCode="0.00">
                  <c:v>1.7797202797202796</c:v>
                </c:pt>
                <c:pt idx="2" formatCode="0.00">
                  <c:v>1.5204290091930541</c:v>
                </c:pt>
                <c:pt idx="3" formatCode="0.00">
                  <c:v>0.702247191011236</c:v>
                </c:pt>
                <c:pt idx="4" formatCode="0.00">
                  <c:v>0.20224719101123595</c:v>
                </c:pt>
                <c:pt idx="5" formatCode="0.00">
                  <c:v>0.20224719101123595</c:v>
                </c:pt>
                <c:pt idx="6" formatCode="0.00">
                  <c:v>0.20224719101123595</c:v>
                </c:pt>
                <c:pt idx="7" formatCode="0.00">
                  <c:v>0.29032258064516131</c:v>
                </c:pt>
                <c:pt idx="8" formatCode="0.00">
                  <c:v>0.29032258064516131</c:v>
                </c:pt>
                <c:pt idx="9" formatCode="0.00">
                  <c:v>0.57157258064516125</c:v>
                </c:pt>
                <c:pt idx="10" formatCode="0.00">
                  <c:v>0.57157258064516125</c:v>
                </c:pt>
                <c:pt idx="11" formatCode="0.00">
                  <c:v>0.57157258064516125</c:v>
                </c:pt>
                <c:pt idx="12" formatCode="0.00">
                  <c:v>0.74878246753246747</c:v>
                </c:pt>
                <c:pt idx="13" formatCode="0.00">
                  <c:v>1.2487824675324675</c:v>
                </c:pt>
                <c:pt idx="14" formatCode="0.00">
                  <c:v>1.3425324675324675</c:v>
                </c:pt>
                <c:pt idx="15" formatCode="0.00">
                  <c:v>1.7762674072915037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D-4773-8003-A6A39D9FDEC9}"/>
            </c:ext>
          </c:extLst>
        </c:ser>
        <c:ser>
          <c:idx val="1"/>
          <c:order val="1"/>
          <c:tx>
            <c:strRef>
              <c:f>Player_Trend_Analysis!$C$3</c:f>
              <c:strCache>
                <c:ptCount val="1"/>
                <c:pt idx="0">
                  <c:v>Assists90_Rolling5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Lit>
              <c:ptCount val="16"/>
              <c:pt idx="0">
                <c:v>1/5/2025</c:v>
              </c:pt>
              <c:pt idx="1">
                <c:v>1/6/2025</c:v>
              </c:pt>
              <c:pt idx="2">
                <c:v>1/7/2025</c:v>
              </c:pt>
              <c:pt idx="3">
                <c:v>1/8/2025</c:v>
              </c:pt>
              <c:pt idx="4">
                <c:v>1/9/2025</c:v>
              </c:pt>
              <c:pt idx="5">
                <c:v>1/10/2025</c:v>
              </c:pt>
              <c:pt idx="6">
                <c:v>1/11/2025</c:v>
              </c:pt>
              <c:pt idx="7">
                <c:v>1/12/2025</c:v>
              </c:pt>
              <c:pt idx="8">
                <c:v>1/13/2025</c:v>
              </c:pt>
              <c:pt idx="9">
                <c:v>1/14/2025</c:v>
              </c:pt>
              <c:pt idx="10">
                <c:v>1/15/2025</c:v>
              </c:pt>
              <c:pt idx="11">
                <c:v>1/16/2025</c:v>
              </c:pt>
              <c:pt idx="12">
                <c:v>1/17/2025</c:v>
              </c:pt>
              <c:pt idx="13">
                <c:v>1/18/2025</c:v>
              </c:pt>
              <c:pt idx="14">
                <c:v>1/19/2025</c:v>
              </c:pt>
              <c:pt idx="15">
                <c:v>1/20/2025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Player_Trend_Analysis!$C$4:$C$23</c15:sqref>
                  </c15:fullRef>
                </c:ext>
              </c:extLst>
              <c:f>Player_Trend_Analysis!$C$8:$C$23</c:f>
              <c:numCache>
                <c:formatCode>General</c:formatCode>
                <c:ptCount val="16"/>
                <c:pt idx="0" formatCode="0.00">
                  <c:v>1.5132367632367631</c:v>
                </c:pt>
                <c:pt idx="1" formatCode="0.00">
                  <c:v>2.0275224775224774</c:v>
                </c:pt>
                <c:pt idx="2" formatCode="0.00">
                  <c:v>1.7967532467532468</c:v>
                </c:pt>
                <c:pt idx="3" formatCode="0.00">
                  <c:v>0.97857142857142843</c:v>
                </c:pt>
                <c:pt idx="4" formatCode="0.00">
                  <c:v>0.72857142857142865</c:v>
                </c:pt>
                <c:pt idx="5" formatCode="0.00">
                  <c:v>1.1349753694581282</c:v>
                </c:pt>
                <c:pt idx="6" formatCode="0.00">
                  <c:v>1.3553835327234343</c:v>
                </c:pt>
                <c:pt idx="7" formatCode="0.00">
                  <c:v>1.6457061133685955</c:v>
                </c:pt>
                <c:pt idx="8" formatCode="0.00">
                  <c:v>1.9407880805817102</c:v>
                </c:pt>
                <c:pt idx="9" formatCode="0.00">
                  <c:v>1.9407880805817102</c:v>
                </c:pt>
                <c:pt idx="10" formatCode="0.00">
                  <c:v>1.6874453641848066</c:v>
                </c:pt>
                <c:pt idx="11" formatCode="0.00">
                  <c:v>0.95275148663378617</c:v>
                </c:pt>
                <c:pt idx="12" formatCode="0.00">
                  <c:v>0.66242890598862503</c:v>
                </c:pt>
                <c:pt idx="13" formatCode="0.00">
                  <c:v>0.86734693877551017</c:v>
                </c:pt>
                <c:pt idx="14" formatCode="0.00">
                  <c:v>1.6173469387755102</c:v>
                </c:pt>
                <c:pt idx="15" formatCode="0.0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DD-4773-8003-A6A39D9F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742655"/>
        <c:axId val="996737663"/>
      </c:lineChart>
      <c:dateAx>
        <c:axId val="99674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Match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37663"/>
        <c:crosses val="autoZero"/>
        <c:auto val="1"/>
        <c:lblOffset val="100"/>
        <c:baseTimeUnit val="days"/>
      </c:dateAx>
      <c:valAx>
        <c:axId val="99673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Goals per 90 – Rolling 5 Match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251460</xdr:colOff>
      <xdr:row>1</xdr:row>
      <xdr:rowOff>0</xdr:rowOff>
    </xdr:from>
    <xdr:to>
      <xdr:col>19</xdr:col>
      <xdr:colOff>601980</xdr:colOff>
      <xdr:row>28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1DC6D3-9F15-40C8-A77D-0DC0D6A17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217714</xdr:colOff>
      <xdr:row>17</xdr:row>
      <xdr:rowOff>119741</xdr:rowOff>
    </xdr:from>
    <xdr:to>
      <xdr:col>28</xdr:col>
      <xdr:colOff>402771</xdr:colOff>
      <xdr:row>28</xdr:row>
      <xdr:rowOff>174171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7941C7-E999-4F44-8B4F-DA5FC75EC3F9}"/>
            </a:ext>
          </a:extLst>
        </xdr:cNvPr>
        <xdr:cNvSpPr txBox="1"/>
      </xdr:nvSpPr>
      <xdr:spPr>
        <a:xfrm>
          <a:off x="14401800" y="4005941"/>
          <a:ext cx="5061857" cy="2394859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/>
              </a:solidFill>
              <a:latin typeface="Arial Black" panose="020B0A04020102020204" pitchFamily="34" charset="0"/>
            </a:rPr>
            <a:t>The following chart visualises a player’s attacking performance (one player at a time) using "rolling 5-match averages". The </a:t>
          </a:r>
          <a:r>
            <a:rPr lang="en-US" sz="1400" b="1">
              <a:solidFill>
                <a:schemeClr val="accent6"/>
              </a:solidFill>
              <a:latin typeface="Arial Black" panose="020B0A04020102020204" pitchFamily="34" charset="0"/>
            </a:rPr>
            <a:t>green line </a:t>
          </a:r>
          <a:r>
            <a:rPr lang="en-US" sz="1400" b="1">
              <a:solidFill>
                <a:schemeClr val="tx1"/>
              </a:solidFill>
              <a:latin typeface="Arial Black" panose="020B0A04020102020204" pitchFamily="34" charset="0"/>
            </a:rPr>
            <a:t>represents </a:t>
          </a:r>
          <a:r>
            <a:rPr lang="en-US" sz="1400" b="1">
              <a:solidFill>
                <a:schemeClr val="accent6"/>
              </a:solidFill>
              <a:latin typeface="Arial Black" panose="020B0A04020102020204" pitchFamily="34" charset="0"/>
            </a:rPr>
            <a:t>Goals per 90</a:t>
          </a:r>
          <a:r>
            <a:rPr lang="en-US" sz="1400" b="1">
              <a:solidFill>
                <a:schemeClr val="tx1"/>
              </a:solidFill>
              <a:latin typeface="Arial Black" panose="020B0A04020102020204" pitchFamily="34" charset="0"/>
            </a:rPr>
            <a:t>, indicating goal-scoring consistency, while the </a:t>
          </a:r>
          <a:r>
            <a:rPr lang="en-US" sz="1400" b="1">
              <a:solidFill>
                <a:srgbClr val="0070C0"/>
              </a:solidFill>
              <a:latin typeface="Arial Black" panose="020B0A04020102020204" pitchFamily="34" charset="0"/>
            </a:rPr>
            <a:t>blue line </a:t>
          </a:r>
          <a:r>
            <a:rPr lang="en-US" sz="1400" b="1">
              <a:solidFill>
                <a:schemeClr val="tx1"/>
              </a:solidFill>
              <a:latin typeface="Arial Black" panose="020B0A04020102020204" pitchFamily="34" charset="0"/>
            </a:rPr>
            <a:t>represents </a:t>
          </a:r>
          <a:r>
            <a:rPr lang="en-US" sz="1400" b="1">
              <a:solidFill>
                <a:srgbClr val="0070C0"/>
              </a:solidFill>
              <a:latin typeface="Arial Black" panose="020B0A04020102020204" pitchFamily="34" charset="0"/>
            </a:rPr>
            <a:t>Assists per 90</a:t>
          </a:r>
          <a:r>
            <a:rPr lang="en-US" sz="1400" b="1">
              <a:solidFill>
                <a:schemeClr val="tx1"/>
              </a:solidFill>
              <a:latin typeface="Arial Black" panose="020B0A04020102020204" pitchFamily="34" charset="0"/>
            </a:rPr>
            <a:t>, reflecting the player’s creative involvement. Changes in trend direction help assess recent form and short-term development rather than relying on single-match performance.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3508D-1D5A-4A83-A74E-F35AC68C1079}" name="Performance_Data" displayName="Performance_Data" ref="A1:AA201" totalsRowShown="0" headerRowDxfId="3">
  <autoFilter ref="A1:AA201" xr:uid="{05B3508D-1D5A-4A83-A74E-F35AC68C1079}"/>
  <sortState xmlns:xlrd2="http://schemas.microsoft.com/office/spreadsheetml/2017/richdata2" ref="A2:AA201">
    <sortCondition ref="F1:F201"/>
  </sortState>
  <tableColumns count="27">
    <tableColumn id="1" xr3:uid="{0DDF44A5-66CC-4B19-BE1F-DF7F1097F9B5}" name="Match_ID" dataDxfId="2"/>
    <tableColumn id="2" xr3:uid="{B710A576-16F6-4D1A-AD17-ECB8E438F778}" name="Player_ID" dataDxfId="0"/>
    <tableColumn id="3" xr3:uid="{0C72D194-C256-4777-B473-F35265F7C117}" name="Player_Name" dataDxfId="1"/>
    <tableColumn id="4" xr3:uid="{840456D1-7555-4476-A421-576B87595834}" name="Age"/>
    <tableColumn id="5" xr3:uid="{7213649E-8968-4EA6-BC5F-F0ADDA1AEADE}" name="Position" dataDxfId="23"/>
    <tableColumn id="6" xr3:uid="{252923C8-4902-4FC5-95F7-93FB2CE779CB}" name="Match_Date" dataDxfId="22"/>
    <tableColumn id="7" xr3:uid="{D0BACADE-A9C8-4908-962D-56B461E0F7A5}" name="Minutes_Played"/>
    <tableColumn id="8" xr3:uid="{095A47E7-95E0-4C1B-B8B4-32A2C21BBDB1}" name="Goals"/>
    <tableColumn id="9" xr3:uid="{020B05D0-84F9-4832-B758-F8F449ED3559}" name="Assists"/>
    <tableColumn id="10" xr3:uid="{251DE1B8-4763-44B1-8818-A1A16AF4E17A}" name="Key_Passes"/>
    <tableColumn id="11" xr3:uid="{E1D61219-F767-42D2-9D03-E4521DF19140}" name="Shots"/>
    <tableColumn id="12" xr3:uid="{5CD4E72D-4F7C-4717-B2B1-4854CFD34A5E}" name="Successful_Dribbles"/>
    <tableColumn id="13" xr3:uid="{07A1FCF7-6463-49D0-9679-B261C16FCE79}" name="Duels_Won"/>
    <tableColumn id="14" xr3:uid="{422036B0-6ED1-4E43-87E1-B3215DAE913A}" name="Pass_Accuracy"/>
    <tableColumn id="15" xr3:uid="{8F4EB134-65FF-4193-ADE9-45B4BEEFABE3}" name="Distance_Covered_km"/>
    <tableColumn id="16" xr3:uid="{0071A476-93A0-440A-AE6E-E7A698F22771}" name="Goals_per_90" dataDxfId="21">
      <calculatedColumnFormula>IF(G2&gt;0, H2*90/G2,0)</calculatedColumnFormula>
    </tableColumn>
    <tableColumn id="17" xr3:uid="{F717916B-9ECD-49E2-BC2C-6B39EA915BED}" name="Assists_per_90" dataDxfId="20">
      <calculatedColumnFormula>IF(Performance_Data[[#This Row],[Minutes_Played]]&gt;0,Performance_Data[[#This Row],[Assists]]*90/Performance_Data[[#This Row],[Minutes_Played]], 0)</calculatedColumnFormula>
    </tableColumn>
    <tableColumn id="18" xr3:uid="{25DEF415-F1F3-443A-AB56-9F7D89C6E913}" name="Key_passes_per_90" dataDxfId="19">
      <calculatedColumnFormula>IF(Performance_Data[[#This Row],[Key_Passes]]&gt;0,Performance_Data[[#This Row],[Key_Passes]]*90/Performance_Data[[#This Row],[Minutes_Played]],0)</calculatedColumnFormula>
    </tableColumn>
    <tableColumn id="19" xr3:uid="{4A02F736-95B7-4440-8327-300ED5598B32}" name="Shots_per_90" dataDxfId="18">
      <calculatedColumnFormula>IF(Performance_Data[[#This Row],[Shots]]&gt;0,Performance_Data[[#This Row],[Shots]]*90/Performance_Data[[#This Row],[Minutes_Played]],0)</calculatedColumnFormula>
    </tableColumn>
    <tableColumn id="20" xr3:uid="{F3AD9644-613B-4105-89DD-8800E56DB663}" name="Dribbles_per_90" dataDxfId="17">
      <calculatedColumnFormula>IF(Performance_Data[[#This Row],[Successful_Dribbles]]&gt;0,Performance_Data[[#This Row],[Successful_Dribbles]]*90/Performance_Data[[#This Row],[Minutes_Played]],0)</calculatedColumnFormula>
    </tableColumn>
    <tableColumn id="21" xr3:uid="{945DC4FD-5978-45AD-B720-034EB9FEDA6D}" name="Duels_per_90" dataDxfId="16">
      <calculatedColumnFormula>IF(Performance_Data[[#This Row],[Duels_Won]]&gt;0,Performance_Data[[#This Row],[Duels_Won]]*90/Performance_Data[[#This Row],[Minutes_Played]],0)</calculatedColumnFormula>
    </tableColumn>
    <tableColumn id="22" xr3:uid="{031C1374-8141-45FE-BF57-FB9DF6E990FE}" name="Goals90_Rolling5" dataDxfId="15">
      <calculatedColumnFormula>AVERAGE(P1:P5)</calculatedColumnFormula>
    </tableColumn>
    <tableColumn id="23" xr3:uid="{E52E547F-5588-4A61-9F6E-70C9E65B93B4}" name="Assists90_Rolling5" dataDxfId="14">
      <calculatedColumnFormula>AVERAGE(Q2:Q6)</calculatedColumnFormula>
    </tableColumn>
    <tableColumn id="24" xr3:uid="{CEE64FBC-707C-4F80-9A90-96AC18A648A3}" name="KeyPasses90_Rolling5" dataDxfId="13"/>
    <tableColumn id="25" xr3:uid="{8349533D-8196-4CD4-A47A-E34FB7C9AE65}" name="Shots90_Rolling5" dataDxfId="12"/>
    <tableColumn id="26" xr3:uid="{1FFB9B71-E507-4FB1-B611-38B608312281}" name="Dribbles90_Rolling5" dataDxfId="11"/>
    <tableColumn id="27" xr3:uid="{0A2C5B0A-C916-442D-89D3-CE3FDA199D3F}" name="Duels90_Rolling5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78406-2120-499E-A6CA-120A414E9467}" name="Table1" displayName="Table1" ref="A1:D11" totalsRowShown="0" headerRowDxfId="9" dataDxfId="8">
  <autoFilter ref="A1:D11" xr:uid="{00F78406-2120-499E-A6CA-120A414E9467}"/>
  <tableColumns count="4">
    <tableColumn id="1" xr3:uid="{67F0AA5A-FE2A-4D17-9E55-1BDD09656B34}" name="Player_ID" dataDxfId="7"/>
    <tableColumn id="2" xr3:uid="{B6473D3E-60A4-46D9-8084-B8FFCE35D07A}" name="Player_Name" dataDxfId="6"/>
    <tableColumn id="3" xr3:uid="{77119FE4-5180-4D09-AF99-300434C32F64}" name="Position" dataDxfId="5"/>
    <tableColumn id="4" xr3:uid="{EF863FD6-8BED-438F-87AA-8D2E97100758}" name="Ag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abSelected="1" zoomScale="90" zoomScaleNormal="90" workbookViewId="0">
      <selection activeCell="B2" sqref="B2:B201"/>
    </sheetView>
  </sheetViews>
  <sheetFormatPr defaultRowHeight="14.4" x14ac:dyDescent="0.3"/>
  <cols>
    <col min="1" max="1" width="11.88671875" bestFit="1" customWidth="1"/>
    <col min="2" max="2" width="11.5546875" bestFit="1" customWidth="1"/>
    <col min="3" max="3" width="17.44140625" style="3" bestFit="1" customWidth="1"/>
    <col min="4" max="4" width="6.77734375" bestFit="1" customWidth="1"/>
    <col min="5" max="5" width="13.109375" style="3" bestFit="1" customWidth="1"/>
    <col min="6" max="6" width="16.5546875" style="4" bestFit="1" customWidth="1"/>
    <col min="7" max="7" width="17.5546875" bestFit="1" customWidth="1"/>
    <col min="8" max="8" width="8.33203125" bestFit="1" customWidth="1"/>
    <col min="9" max="9" width="9.44140625" bestFit="1" customWidth="1"/>
    <col min="10" max="10" width="13.33203125" bestFit="1" customWidth="1"/>
    <col min="11" max="11" width="8.33203125" bestFit="1" customWidth="1"/>
    <col min="12" max="12" width="20.44140625" bestFit="1" customWidth="1"/>
    <col min="13" max="13" width="13.33203125" bestFit="1" customWidth="1"/>
    <col min="14" max="14" width="16" bestFit="1" customWidth="1"/>
    <col min="15" max="15" width="22.77734375" bestFit="1" customWidth="1"/>
    <col min="16" max="16" width="15.44140625" bestFit="1" customWidth="1"/>
    <col min="17" max="17" width="16.5546875" bestFit="1" customWidth="1"/>
    <col min="18" max="18" width="20.44140625" bestFit="1" customWidth="1"/>
    <col min="19" max="19" width="15.44140625" bestFit="1" customWidth="1"/>
    <col min="20" max="20" width="17.77734375" bestFit="1" customWidth="1"/>
    <col min="21" max="21" width="15.33203125" bestFit="1" customWidth="1"/>
    <col min="22" max="22" width="18.6640625" bestFit="1" customWidth="1"/>
    <col min="23" max="23" width="19.77734375" bestFit="1" customWidth="1"/>
    <col min="24" max="24" width="22.6640625" bestFit="1" customWidth="1"/>
    <col min="25" max="25" width="18.6640625" bestFit="1" customWidth="1"/>
    <col min="26" max="26" width="20.88671875" bestFit="1" customWidth="1"/>
    <col min="27" max="27" width="18.5546875" bestFit="1" customWidth="1"/>
  </cols>
  <sheetData>
    <row r="1" spans="1:27" x14ac:dyDescent="0.3">
      <c r="A1" s="19" t="s">
        <v>0</v>
      </c>
      <c r="B1" s="19" t="s">
        <v>1</v>
      </c>
      <c r="C1" s="20" t="s">
        <v>2</v>
      </c>
      <c r="D1" s="19" t="s">
        <v>3</v>
      </c>
      <c r="E1" s="20" t="s">
        <v>4</v>
      </c>
      <c r="F1" s="2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39</v>
      </c>
      <c r="Q1" s="19" t="s">
        <v>40</v>
      </c>
      <c r="R1" s="19" t="s">
        <v>41</v>
      </c>
      <c r="S1" s="19" t="s">
        <v>42</v>
      </c>
      <c r="T1" s="19" t="s">
        <v>43</v>
      </c>
      <c r="U1" s="19" t="s">
        <v>44</v>
      </c>
      <c r="V1" s="19" t="s">
        <v>245</v>
      </c>
      <c r="W1" s="19" t="s">
        <v>246</v>
      </c>
      <c r="X1" s="19" t="s">
        <v>247</v>
      </c>
      <c r="Y1" s="19" t="s">
        <v>248</v>
      </c>
      <c r="Z1" s="19" t="s">
        <v>249</v>
      </c>
      <c r="AA1" s="19" t="s">
        <v>250</v>
      </c>
    </row>
    <row r="2" spans="1:27" x14ac:dyDescent="0.3">
      <c r="A2" s="3" t="s">
        <v>45</v>
      </c>
      <c r="B2" s="9" t="s">
        <v>15</v>
      </c>
      <c r="C2" s="3" t="s">
        <v>16</v>
      </c>
      <c r="D2">
        <v>19</v>
      </c>
      <c r="E2" s="3" t="s">
        <v>17</v>
      </c>
      <c r="F2" s="8">
        <v>45658</v>
      </c>
      <c r="G2">
        <v>49</v>
      </c>
      <c r="H2">
        <v>3</v>
      </c>
      <c r="I2">
        <v>0</v>
      </c>
      <c r="J2">
        <v>1</v>
      </c>
      <c r="K2">
        <v>3</v>
      </c>
      <c r="L2">
        <v>3</v>
      </c>
      <c r="M2">
        <v>12</v>
      </c>
      <c r="N2">
        <v>73</v>
      </c>
      <c r="O2">
        <v>8.4</v>
      </c>
      <c r="P2" s="5">
        <f t="shared" ref="P2:P33" si="0">IF(G2&gt;0, H2*90/G2,0)</f>
        <v>5.5102040816326534</v>
      </c>
      <c r="Q2" s="5">
        <f>IF(Performance_Data[[#This Row],[Minutes_Played]]&gt;0,Performance_Data[[#This Row],[Assists]]*90/Performance_Data[[#This Row],[Minutes_Played]], 0)</f>
        <v>0</v>
      </c>
      <c r="R2" s="5">
        <f>IF(Performance_Data[[#This Row],[Key_Passes]]&gt;0,Performance_Data[[#This Row],[Key_Passes]]*90/Performance_Data[[#This Row],[Minutes_Played]],0)</f>
        <v>1.8367346938775511</v>
      </c>
      <c r="S2" s="5">
        <f>IF(Performance_Data[[#This Row],[Shots]]&gt;0,Performance_Data[[#This Row],[Shots]]*90/Performance_Data[[#This Row],[Minutes_Played]],0)</f>
        <v>5.5102040816326534</v>
      </c>
      <c r="T2" s="6">
        <f>IF(Performance_Data[[#This Row],[Successful_Dribbles]]&gt;0,Performance_Data[[#This Row],[Successful_Dribbles]]*90/Performance_Data[[#This Row],[Minutes_Played]],0)</f>
        <v>5.5102040816326534</v>
      </c>
      <c r="U2" s="5">
        <f>IF(Performance_Data[[#This Row],[Duels_Won]]&gt;0,Performance_Data[[#This Row],[Duels_Won]]*90/Performance_Data[[#This Row],[Minutes_Played]],0)</f>
        <v>22.040816326530614</v>
      </c>
      <c r="V2" s="5"/>
      <c r="W2" s="5"/>
      <c r="X2" s="7"/>
      <c r="Y2" s="7"/>
      <c r="Z2" s="7"/>
      <c r="AA2" s="7"/>
    </row>
    <row r="3" spans="1:27" x14ac:dyDescent="0.3">
      <c r="A3" s="3" t="s">
        <v>46</v>
      </c>
      <c r="B3" s="9" t="s">
        <v>15</v>
      </c>
      <c r="C3" s="3" t="s">
        <v>16</v>
      </c>
      <c r="D3">
        <v>19</v>
      </c>
      <c r="E3" s="3" t="s">
        <v>17</v>
      </c>
      <c r="F3" s="8">
        <v>45659</v>
      </c>
      <c r="G3">
        <v>78</v>
      </c>
      <c r="H3">
        <v>2</v>
      </c>
      <c r="I3">
        <v>1</v>
      </c>
      <c r="J3">
        <v>5</v>
      </c>
      <c r="K3">
        <v>0</v>
      </c>
      <c r="L3">
        <v>4</v>
      </c>
      <c r="M3">
        <v>12</v>
      </c>
      <c r="N3">
        <v>78</v>
      </c>
      <c r="O3">
        <v>8.3000000000000007</v>
      </c>
      <c r="P3" s="5">
        <f t="shared" si="0"/>
        <v>2.3076923076923075</v>
      </c>
      <c r="Q3" s="5">
        <f>IF(Performance_Data[[#This Row],[Minutes_Played]]&gt;0,Performance_Data[[#This Row],[Assists]]*90/Performance_Data[[#This Row],[Minutes_Played]], 0)</f>
        <v>1.1538461538461537</v>
      </c>
      <c r="R3" s="5">
        <f>IF(Performance_Data[[#This Row],[Key_Passes]]&gt;0,Performance_Data[[#This Row],[Key_Passes]]*90/Performance_Data[[#This Row],[Minutes_Played]],0)</f>
        <v>5.7692307692307692</v>
      </c>
      <c r="S3" s="5">
        <f>IF(Performance_Data[[#This Row],[Shots]]&gt;0,Performance_Data[[#This Row],[Shots]]*90/Performance_Data[[#This Row],[Minutes_Played]],0)</f>
        <v>0</v>
      </c>
      <c r="T3" s="6">
        <f>IF(Performance_Data[[#This Row],[Successful_Dribbles]]&gt;0,Performance_Data[[#This Row],[Successful_Dribbles]]*90/Performance_Data[[#This Row],[Minutes_Played]],0)</f>
        <v>4.615384615384615</v>
      </c>
      <c r="U3" s="5">
        <f>IF(Performance_Data[[#This Row],[Duels_Won]]&gt;0,Performance_Data[[#This Row],[Duels_Won]]*90/Performance_Data[[#This Row],[Minutes_Played]],0)</f>
        <v>13.846153846153847</v>
      </c>
      <c r="V3" s="5"/>
      <c r="W3" s="5"/>
      <c r="X3" s="7"/>
      <c r="Y3" s="7"/>
      <c r="Z3" s="7"/>
      <c r="AA3" s="7"/>
    </row>
    <row r="4" spans="1:27" x14ac:dyDescent="0.3">
      <c r="A4" s="3" t="s">
        <v>47</v>
      </c>
      <c r="B4" s="9" t="s">
        <v>15</v>
      </c>
      <c r="C4" s="3" t="s">
        <v>16</v>
      </c>
      <c r="D4">
        <v>19</v>
      </c>
      <c r="E4" s="3" t="s">
        <v>17</v>
      </c>
      <c r="F4" s="8">
        <v>45660</v>
      </c>
      <c r="G4">
        <v>44</v>
      </c>
      <c r="H4">
        <v>2</v>
      </c>
      <c r="I4">
        <v>2</v>
      </c>
      <c r="J4">
        <v>2</v>
      </c>
      <c r="K4">
        <v>4</v>
      </c>
      <c r="L4">
        <v>7</v>
      </c>
      <c r="M4">
        <v>12</v>
      </c>
      <c r="N4">
        <v>72</v>
      </c>
      <c r="O4">
        <v>9.6999999999999993</v>
      </c>
      <c r="P4" s="5">
        <f t="shared" si="0"/>
        <v>4.0909090909090908</v>
      </c>
      <c r="Q4" s="5">
        <f>IF(Performance_Data[[#This Row],[Minutes_Played]]&gt;0,Performance_Data[[#This Row],[Assists]]*90/Performance_Data[[#This Row],[Minutes_Played]], 0)</f>
        <v>4.0909090909090908</v>
      </c>
      <c r="R4" s="5">
        <f>IF(Performance_Data[[#This Row],[Key_Passes]]&gt;0,Performance_Data[[#This Row],[Key_Passes]]*90/Performance_Data[[#This Row],[Minutes_Played]],0)</f>
        <v>4.0909090909090908</v>
      </c>
      <c r="S4" s="5">
        <f>IF(Performance_Data[[#This Row],[Shots]]&gt;0,Performance_Data[[#This Row],[Shots]]*90/Performance_Data[[#This Row],[Minutes_Played]],0)</f>
        <v>8.1818181818181817</v>
      </c>
      <c r="T4" s="6">
        <f>IF(Performance_Data[[#This Row],[Successful_Dribbles]]&gt;0,Performance_Data[[#This Row],[Successful_Dribbles]]*90/Performance_Data[[#This Row],[Minutes_Played]],0)</f>
        <v>14.318181818181818</v>
      </c>
      <c r="U4" s="5">
        <f>IF(Performance_Data[[#This Row],[Duels_Won]]&gt;0,Performance_Data[[#This Row],[Duels_Won]]*90/Performance_Data[[#This Row],[Minutes_Played]],0)</f>
        <v>24.545454545454547</v>
      </c>
      <c r="V4" s="5"/>
      <c r="W4" s="5"/>
      <c r="X4" s="7"/>
      <c r="Y4" s="7"/>
      <c r="Z4" s="7"/>
      <c r="AA4" s="7"/>
    </row>
    <row r="5" spans="1:27" x14ac:dyDescent="0.3">
      <c r="A5" s="3" t="s">
        <v>48</v>
      </c>
      <c r="B5" s="9" t="s">
        <v>15</v>
      </c>
      <c r="C5" s="3" t="s">
        <v>16</v>
      </c>
      <c r="D5">
        <v>19</v>
      </c>
      <c r="E5" s="3" t="s">
        <v>17</v>
      </c>
      <c r="F5" s="8">
        <v>45661</v>
      </c>
      <c r="G5">
        <v>72</v>
      </c>
      <c r="H5">
        <v>2</v>
      </c>
      <c r="I5">
        <v>1</v>
      </c>
      <c r="J5">
        <v>2</v>
      </c>
      <c r="K5">
        <v>0</v>
      </c>
      <c r="L5">
        <v>3</v>
      </c>
      <c r="M5">
        <v>3</v>
      </c>
      <c r="N5">
        <v>72</v>
      </c>
      <c r="O5">
        <v>8.5</v>
      </c>
      <c r="P5" s="5">
        <f t="shared" si="0"/>
        <v>2.5</v>
      </c>
      <c r="Q5" s="5">
        <f>IF(Performance_Data[[#This Row],[Minutes_Played]]&gt;0,Performance_Data[[#This Row],[Assists]]*90/Performance_Data[[#This Row],[Minutes_Played]], 0)</f>
        <v>1.25</v>
      </c>
      <c r="R5" s="5">
        <f>IF(Performance_Data[[#This Row],[Key_Passes]]&gt;0,Performance_Data[[#This Row],[Key_Passes]]*90/Performance_Data[[#This Row],[Minutes_Played]],0)</f>
        <v>2.5</v>
      </c>
      <c r="S5" s="5">
        <f>IF(Performance_Data[[#This Row],[Shots]]&gt;0,Performance_Data[[#This Row],[Shots]]*90/Performance_Data[[#This Row],[Minutes_Played]],0)</f>
        <v>0</v>
      </c>
      <c r="T5" s="6">
        <f>IF(Performance_Data[[#This Row],[Successful_Dribbles]]&gt;0,Performance_Data[[#This Row],[Successful_Dribbles]]*90/Performance_Data[[#This Row],[Minutes_Played]],0)</f>
        <v>3.75</v>
      </c>
      <c r="U5" s="5">
        <f>IF(Performance_Data[[#This Row],[Duels_Won]]&gt;0,Performance_Data[[#This Row],[Duels_Won]]*90/Performance_Data[[#This Row],[Minutes_Played]],0)</f>
        <v>3.75</v>
      </c>
      <c r="V5" s="5"/>
      <c r="W5" s="5"/>
      <c r="X5" s="7"/>
      <c r="Y5" s="7"/>
      <c r="Z5" s="7"/>
      <c r="AA5" s="7"/>
    </row>
    <row r="6" spans="1:27" x14ac:dyDescent="0.3">
      <c r="A6" s="3" t="s">
        <v>49</v>
      </c>
      <c r="B6" s="9" t="s">
        <v>15</v>
      </c>
      <c r="C6" s="3" t="s">
        <v>16</v>
      </c>
      <c r="D6">
        <v>19</v>
      </c>
      <c r="E6" s="3" t="s">
        <v>17</v>
      </c>
      <c r="F6" s="8">
        <v>45662</v>
      </c>
      <c r="G6">
        <v>84</v>
      </c>
      <c r="H6">
        <v>0</v>
      </c>
      <c r="I6">
        <v>1</v>
      </c>
      <c r="J6">
        <v>2</v>
      </c>
      <c r="K6">
        <v>5</v>
      </c>
      <c r="L6">
        <v>3</v>
      </c>
      <c r="M6">
        <v>11</v>
      </c>
      <c r="N6">
        <v>65</v>
      </c>
      <c r="O6">
        <v>10.4</v>
      </c>
      <c r="P6" s="5">
        <f t="shared" si="0"/>
        <v>0</v>
      </c>
      <c r="Q6" s="5">
        <f>IF(Performance_Data[[#This Row],[Minutes_Played]]&gt;0,Performance_Data[[#This Row],[Assists]]*90/Performance_Data[[#This Row],[Minutes_Played]], 0)</f>
        <v>1.0714285714285714</v>
      </c>
      <c r="R6" s="5">
        <f>IF(Performance_Data[[#This Row],[Key_Passes]]&gt;0,Performance_Data[[#This Row],[Key_Passes]]*90/Performance_Data[[#This Row],[Minutes_Played]],0)</f>
        <v>2.1428571428571428</v>
      </c>
      <c r="S6" s="5">
        <f>IF(Performance_Data[[#This Row],[Shots]]&gt;0,Performance_Data[[#This Row],[Shots]]*90/Performance_Data[[#This Row],[Minutes_Played]],0)</f>
        <v>5.3571428571428568</v>
      </c>
      <c r="T6" s="6">
        <f>IF(Performance_Data[[#This Row],[Successful_Dribbles]]&gt;0,Performance_Data[[#This Row],[Successful_Dribbles]]*90/Performance_Data[[#This Row],[Minutes_Played]],0)</f>
        <v>3.2142857142857144</v>
      </c>
      <c r="U6" s="5">
        <f>IF(Performance_Data[[#This Row],[Duels_Won]]&gt;0,Performance_Data[[#This Row],[Duels_Won]]*90/Performance_Data[[#This Row],[Minutes_Played]],0)</f>
        <v>11.785714285714286</v>
      </c>
      <c r="V6" s="5">
        <f t="shared" ref="V6:V37" si="1">IF(COUNTIF(B2:B6,B6)=5, AVERAGE(P2:P6), "")</f>
        <v>2.8817610960468101</v>
      </c>
      <c r="W6" s="5">
        <f t="shared" ref="W6:W37" si="2">IF(COUNTIF(B2:B6,B6)=5, AVERAGE(Q2:Q6), "")</f>
        <v>1.5132367632367631</v>
      </c>
      <c r="X6" s="5">
        <f t="shared" ref="X6:X37" si="3">IF(COUNTIF(B2:B6,B6)=5, AVERAGE(R2:R6), "")</f>
        <v>3.2679463393749111</v>
      </c>
      <c r="Y6" s="5">
        <f t="shared" ref="Y6:Y37" si="4">IF(COUNTIF(B2:B6,B6)=5, AVERAGE(S2:S6), "")</f>
        <v>3.8098330241187384</v>
      </c>
      <c r="Z6" s="5">
        <f t="shared" ref="Z6:Z37" si="5">IF(COUNTIF(B2:B6,B6)=5,AVERAGE(T2:T6),"")</f>
        <v>6.2816112458969595</v>
      </c>
      <c r="AA6" s="5">
        <f t="shared" ref="AA6:AA37" si="6">IF(COUNTIF(B2:B6,B6)=5,AVERAGE(U2:U6),"")</f>
        <v>15.19362780077066</v>
      </c>
    </row>
    <row r="7" spans="1:27" x14ac:dyDescent="0.3">
      <c r="A7" s="3" t="s">
        <v>50</v>
      </c>
      <c r="B7" s="9" t="s">
        <v>15</v>
      </c>
      <c r="C7" s="3" t="s">
        <v>16</v>
      </c>
      <c r="D7">
        <v>19</v>
      </c>
      <c r="E7" s="3" t="s">
        <v>17</v>
      </c>
      <c r="F7" s="8">
        <v>45663</v>
      </c>
      <c r="G7">
        <v>35</v>
      </c>
      <c r="H7">
        <v>0</v>
      </c>
      <c r="I7">
        <v>1</v>
      </c>
      <c r="J7">
        <v>3</v>
      </c>
      <c r="K7">
        <v>4</v>
      </c>
      <c r="L7">
        <v>5</v>
      </c>
      <c r="M7">
        <v>4</v>
      </c>
      <c r="N7">
        <v>87</v>
      </c>
      <c r="O7">
        <v>8.4</v>
      </c>
      <c r="P7" s="5">
        <f t="shared" si="0"/>
        <v>0</v>
      </c>
      <c r="Q7" s="5">
        <f>IF(Performance_Data[[#This Row],[Minutes_Played]]&gt;0,Performance_Data[[#This Row],[Assists]]*90/Performance_Data[[#This Row],[Minutes_Played]], 0)</f>
        <v>2.5714285714285716</v>
      </c>
      <c r="R7" s="5">
        <f>IF(Performance_Data[[#This Row],[Key_Passes]]&gt;0,Performance_Data[[#This Row],[Key_Passes]]*90/Performance_Data[[#This Row],[Minutes_Played]],0)</f>
        <v>7.7142857142857144</v>
      </c>
      <c r="S7" s="5">
        <f>IF(Performance_Data[[#This Row],[Shots]]&gt;0,Performance_Data[[#This Row],[Shots]]*90/Performance_Data[[#This Row],[Minutes_Played]],0)</f>
        <v>10.285714285714286</v>
      </c>
      <c r="T7" s="6">
        <f>IF(Performance_Data[[#This Row],[Successful_Dribbles]]&gt;0,Performance_Data[[#This Row],[Successful_Dribbles]]*90/Performance_Data[[#This Row],[Minutes_Played]],0)</f>
        <v>12.857142857142858</v>
      </c>
      <c r="U7" s="5">
        <f>IF(Performance_Data[[#This Row],[Duels_Won]]&gt;0,Performance_Data[[#This Row],[Duels_Won]]*90/Performance_Data[[#This Row],[Minutes_Played]],0)</f>
        <v>10.285714285714286</v>
      </c>
      <c r="V7" s="5">
        <f t="shared" si="1"/>
        <v>1.7797202797202796</v>
      </c>
      <c r="W7" s="5">
        <f t="shared" si="2"/>
        <v>2.0275224775224774</v>
      </c>
      <c r="X7" s="5">
        <f t="shared" si="3"/>
        <v>4.4434565434565432</v>
      </c>
      <c r="Y7" s="5">
        <f t="shared" si="4"/>
        <v>4.7649350649350648</v>
      </c>
      <c r="Z7" s="5">
        <f t="shared" si="5"/>
        <v>7.750999000999002</v>
      </c>
      <c r="AA7" s="5">
        <f t="shared" si="6"/>
        <v>12.842607392607395</v>
      </c>
    </row>
    <row r="8" spans="1:27" x14ac:dyDescent="0.3">
      <c r="A8" s="3" t="s">
        <v>51</v>
      </c>
      <c r="B8" s="9" t="s">
        <v>15</v>
      </c>
      <c r="C8" s="3" t="s">
        <v>16</v>
      </c>
      <c r="D8">
        <v>19</v>
      </c>
      <c r="E8" s="3" t="s">
        <v>17</v>
      </c>
      <c r="F8" s="8">
        <v>45664</v>
      </c>
      <c r="G8">
        <v>89</v>
      </c>
      <c r="H8">
        <v>1</v>
      </c>
      <c r="I8">
        <v>0</v>
      </c>
      <c r="J8">
        <v>5</v>
      </c>
      <c r="K8">
        <v>6</v>
      </c>
      <c r="L8">
        <v>5</v>
      </c>
      <c r="M8">
        <v>12</v>
      </c>
      <c r="N8">
        <v>65</v>
      </c>
      <c r="O8">
        <v>8.6999999999999993</v>
      </c>
      <c r="P8" s="5">
        <f t="shared" si="0"/>
        <v>1.0112359550561798</v>
      </c>
      <c r="Q8" s="5">
        <f>IF(Performance_Data[[#This Row],[Minutes_Played]]&gt;0,Performance_Data[[#This Row],[Assists]]*90/Performance_Data[[#This Row],[Minutes_Played]], 0)</f>
        <v>0</v>
      </c>
      <c r="R8" s="5">
        <f>IF(Performance_Data[[#This Row],[Key_Passes]]&gt;0,Performance_Data[[#This Row],[Key_Passes]]*90/Performance_Data[[#This Row],[Minutes_Played]],0)</f>
        <v>5.0561797752808992</v>
      </c>
      <c r="S8" s="5">
        <f>IF(Performance_Data[[#This Row],[Shots]]&gt;0,Performance_Data[[#This Row],[Shots]]*90/Performance_Data[[#This Row],[Minutes_Played]],0)</f>
        <v>6.0674157303370784</v>
      </c>
      <c r="T8" s="6">
        <f>IF(Performance_Data[[#This Row],[Successful_Dribbles]]&gt;0,Performance_Data[[#This Row],[Successful_Dribbles]]*90/Performance_Data[[#This Row],[Minutes_Played]],0)</f>
        <v>5.0561797752808992</v>
      </c>
      <c r="U8" s="5">
        <f>IF(Performance_Data[[#This Row],[Duels_Won]]&gt;0,Performance_Data[[#This Row],[Duels_Won]]*90/Performance_Data[[#This Row],[Minutes_Played]],0)</f>
        <v>12.134831460674157</v>
      </c>
      <c r="V8" s="5">
        <f t="shared" si="1"/>
        <v>1.5204290091930541</v>
      </c>
      <c r="W8" s="5">
        <f t="shared" si="2"/>
        <v>1.7967532467532468</v>
      </c>
      <c r="X8" s="5">
        <f t="shared" si="3"/>
        <v>4.300846344666569</v>
      </c>
      <c r="Y8" s="5">
        <f t="shared" si="4"/>
        <v>5.9784182110024808</v>
      </c>
      <c r="Z8" s="5">
        <f t="shared" si="5"/>
        <v>7.8391580329782586</v>
      </c>
      <c r="AA8" s="5">
        <f t="shared" si="6"/>
        <v>12.500342915511455</v>
      </c>
    </row>
    <row r="9" spans="1:27" x14ac:dyDescent="0.3">
      <c r="A9" s="3" t="s">
        <v>52</v>
      </c>
      <c r="B9" s="9" t="s">
        <v>15</v>
      </c>
      <c r="C9" s="3" t="s">
        <v>16</v>
      </c>
      <c r="D9">
        <v>19</v>
      </c>
      <c r="E9" s="3" t="s">
        <v>17</v>
      </c>
      <c r="F9" s="8">
        <v>45665</v>
      </c>
      <c r="G9">
        <v>35</v>
      </c>
      <c r="H9">
        <v>0</v>
      </c>
      <c r="I9">
        <v>0</v>
      </c>
      <c r="J9">
        <v>2</v>
      </c>
      <c r="K9">
        <v>0</v>
      </c>
      <c r="L9">
        <v>5</v>
      </c>
      <c r="M9">
        <v>4</v>
      </c>
      <c r="N9">
        <v>79</v>
      </c>
      <c r="O9">
        <v>9</v>
      </c>
      <c r="P9" s="5">
        <f t="shared" si="0"/>
        <v>0</v>
      </c>
      <c r="Q9" s="5">
        <f>IF(Performance_Data[[#This Row],[Minutes_Played]]&gt;0,Performance_Data[[#This Row],[Assists]]*90/Performance_Data[[#This Row],[Minutes_Played]], 0)</f>
        <v>0</v>
      </c>
      <c r="R9" s="5">
        <f>IF(Performance_Data[[#This Row],[Key_Passes]]&gt;0,Performance_Data[[#This Row],[Key_Passes]]*90/Performance_Data[[#This Row],[Minutes_Played]],0)</f>
        <v>5.1428571428571432</v>
      </c>
      <c r="S9" s="5">
        <f>IF(Performance_Data[[#This Row],[Shots]]&gt;0,Performance_Data[[#This Row],[Shots]]*90/Performance_Data[[#This Row],[Minutes_Played]],0)</f>
        <v>0</v>
      </c>
      <c r="T9" s="6">
        <f>IF(Performance_Data[[#This Row],[Successful_Dribbles]]&gt;0,Performance_Data[[#This Row],[Successful_Dribbles]]*90/Performance_Data[[#This Row],[Minutes_Played]],0)</f>
        <v>12.857142857142858</v>
      </c>
      <c r="U9" s="5">
        <f>IF(Performance_Data[[#This Row],[Duels_Won]]&gt;0,Performance_Data[[#This Row],[Duels_Won]]*90/Performance_Data[[#This Row],[Minutes_Played]],0)</f>
        <v>10.285714285714286</v>
      </c>
      <c r="V9" s="5">
        <f t="shared" si="1"/>
        <v>0.702247191011236</v>
      </c>
      <c r="W9" s="5">
        <f t="shared" si="2"/>
        <v>0.97857142857142843</v>
      </c>
      <c r="X9" s="5">
        <f t="shared" si="3"/>
        <v>4.51123595505618</v>
      </c>
      <c r="Y9" s="5">
        <f t="shared" si="4"/>
        <v>4.3420545746388441</v>
      </c>
      <c r="Z9" s="5">
        <f t="shared" si="5"/>
        <v>7.5469502407704656</v>
      </c>
      <c r="AA9" s="5">
        <f t="shared" si="6"/>
        <v>9.6483948635634036</v>
      </c>
    </row>
    <row r="10" spans="1:27" x14ac:dyDescent="0.3">
      <c r="A10" s="3" t="s">
        <v>53</v>
      </c>
      <c r="B10" s="9" t="s">
        <v>15</v>
      </c>
      <c r="C10" s="3" t="s">
        <v>16</v>
      </c>
      <c r="D10">
        <v>19</v>
      </c>
      <c r="E10" s="3" t="s">
        <v>17</v>
      </c>
      <c r="F10" s="8">
        <v>45666</v>
      </c>
      <c r="G10">
        <v>38</v>
      </c>
      <c r="H10">
        <v>0</v>
      </c>
      <c r="I10">
        <v>0</v>
      </c>
      <c r="J10">
        <v>4</v>
      </c>
      <c r="K10">
        <v>6</v>
      </c>
      <c r="L10">
        <v>1</v>
      </c>
      <c r="M10">
        <v>4</v>
      </c>
      <c r="N10">
        <v>76</v>
      </c>
      <c r="O10">
        <v>8</v>
      </c>
      <c r="P10" s="5">
        <f t="shared" si="0"/>
        <v>0</v>
      </c>
      <c r="Q10" s="5">
        <f>IF(Performance_Data[[#This Row],[Minutes_Played]]&gt;0,Performance_Data[[#This Row],[Assists]]*90/Performance_Data[[#This Row],[Minutes_Played]], 0)</f>
        <v>0</v>
      </c>
      <c r="R10" s="5">
        <f>IF(Performance_Data[[#This Row],[Key_Passes]]&gt;0,Performance_Data[[#This Row],[Key_Passes]]*90/Performance_Data[[#This Row],[Minutes_Played]],0)</f>
        <v>9.473684210526315</v>
      </c>
      <c r="S10" s="5">
        <f>IF(Performance_Data[[#This Row],[Shots]]&gt;0,Performance_Data[[#This Row],[Shots]]*90/Performance_Data[[#This Row],[Minutes_Played]],0)</f>
        <v>14.210526315789474</v>
      </c>
      <c r="T10" s="6">
        <f>IF(Performance_Data[[#This Row],[Successful_Dribbles]]&gt;0,Performance_Data[[#This Row],[Successful_Dribbles]]*90/Performance_Data[[#This Row],[Minutes_Played]],0)</f>
        <v>2.3684210526315788</v>
      </c>
      <c r="U10" s="5">
        <f>IF(Performance_Data[[#This Row],[Duels_Won]]&gt;0,Performance_Data[[#This Row],[Duels_Won]]*90/Performance_Data[[#This Row],[Minutes_Played]],0)</f>
        <v>9.473684210526315</v>
      </c>
      <c r="V10" s="5">
        <f t="shared" si="1"/>
        <v>0.20224719101123595</v>
      </c>
      <c r="W10" s="5">
        <f t="shared" si="2"/>
        <v>0.72857142857142865</v>
      </c>
      <c r="X10" s="5">
        <f t="shared" si="3"/>
        <v>5.9059727971614429</v>
      </c>
      <c r="Y10" s="5">
        <f t="shared" si="4"/>
        <v>7.1841598377967388</v>
      </c>
      <c r="Z10" s="5">
        <f t="shared" si="5"/>
        <v>7.2706344512967807</v>
      </c>
      <c r="AA10" s="5">
        <f t="shared" si="6"/>
        <v>10.793131705668667</v>
      </c>
    </row>
    <row r="11" spans="1:27" x14ac:dyDescent="0.3">
      <c r="A11" s="3" t="s">
        <v>54</v>
      </c>
      <c r="B11" s="9" t="s">
        <v>15</v>
      </c>
      <c r="C11" s="3" t="s">
        <v>16</v>
      </c>
      <c r="D11">
        <v>19</v>
      </c>
      <c r="E11" s="3" t="s">
        <v>17</v>
      </c>
      <c r="F11" s="8">
        <v>45667</v>
      </c>
      <c r="G11">
        <v>58</v>
      </c>
      <c r="H11">
        <v>0</v>
      </c>
      <c r="I11">
        <v>2</v>
      </c>
      <c r="J11">
        <v>2</v>
      </c>
      <c r="K11">
        <v>3</v>
      </c>
      <c r="L11">
        <v>1</v>
      </c>
      <c r="M11">
        <v>5</v>
      </c>
      <c r="N11">
        <v>82</v>
      </c>
      <c r="O11">
        <v>10.5</v>
      </c>
      <c r="P11" s="5">
        <f t="shared" si="0"/>
        <v>0</v>
      </c>
      <c r="Q11" s="5">
        <f>IF(Performance_Data[[#This Row],[Minutes_Played]]&gt;0,Performance_Data[[#This Row],[Assists]]*90/Performance_Data[[#This Row],[Minutes_Played]], 0)</f>
        <v>3.103448275862069</v>
      </c>
      <c r="R11" s="5">
        <f>IF(Performance_Data[[#This Row],[Key_Passes]]&gt;0,Performance_Data[[#This Row],[Key_Passes]]*90/Performance_Data[[#This Row],[Minutes_Played]],0)</f>
        <v>3.103448275862069</v>
      </c>
      <c r="S11" s="5">
        <f>IF(Performance_Data[[#This Row],[Shots]]&gt;0,Performance_Data[[#This Row],[Shots]]*90/Performance_Data[[#This Row],[Minutes_Played]],0)</f>
        <v>4.6551724137931032</v>
      </c>
      <c r="T11" s="6">
        <f>IF(Performance_Data[[#This Row],[Successful_Dribbles]]&gt;0,Performance_Data[[#This Row],[Successful_Dribbles]]*90/Performance_Data[[#This Row],[Minutes_Played]],0)</f>
        <v>1.5517241379310345</v>
      </c>
      <c r="U11" s="5">
        <f>IF(Performance_Data[[#This Row],[Duels_Won]]&gt;0,Performance_Data[[#This Row],[Duels_Won]]*90/Performance_Data[[#This Row],[Minutes_Played]],0)</f>
        <v>7.7586206896551726</v>
      </c>
      <c r="V11" s="5">
        <f t="shared" si="1"/>
        <v>0.20224719101123595</v>
      </c>
      <c r="W11" s="5">
        <f t="shared" si="2"/>
        <v>1.1349753694581282</v>
      </c>
      <c r="X11" s="5">
        <f t="shared" si="3"/>
        <v>6.0980910237624277</v>
      </c>
      <c r="Y11" s="5">
        <f t="shared" si="4"/>
        <v>7.0437657491267887</v>
      </c>
      <c r="Z11" s="5">
        <f t="shared" si="5"/>
        <v>6.9381221360258447</v>
      </c>
      <c r="AA11" s="5">
        <f t="shared" si="6"/>
        <v>9.9877129864568435</v>
      </c>
    </row>
    <row r="12" spans="1:27" x14ac:dyDescent="0.3">
      <c r="A12" s="3" t="s">
        <v>55</v>
      </c>
      <c r="B12" s="9" t="s">
        <v>15</v>
      </c>
      <c r="C12" s="3" t="s">
        <v>16</v>
      </c>
      <c r="D12">
        <v>19</v>
      </c>
      <c r="E12" s="3" t="s">
        <v>17</v>
      </c>
      <c r="F12" s="8">
        <v>45668</v>
      </c>
      <c r="G12">
        <v>49</v>
      </c>
      <c r="H12">
        <v>0</v>
      </c>
      <c r="I12">
        <v>2</v>
      </c>
      <c r="J12">
        <v>4</v>
      </c>
      <c r="K12">
        <v>0</v>
      </c>
      <c r="L12">
        <v>1</v>
      </c>
      <c r="M12">
        <v>2</v>
      </c>
      <c r="N12">
        <v>86</v>
      </c>
      <c r="O12">
        <v>10.8</v>
      </c>
      <c r="P12" s="5">
        <f t="shared" si="0"/>
        <v>0</v>
      </c>
      <c r="Q12" s="5">
        <f>IF(Performance_Data[[#This Row],[Minutes_Played]]&gt;0,Performance_Data[[#This Row],[Assists]]*90/Performance_Data[[#This Row],[Minutes_Played]], 0)</f>
        <v>3.6734693877551021</v>
      </c>
      <c r="R12" s="5">
        <f>IF(Performance_Data[[#This Row],[Key_Passes]]&gt;0,Performance_Data[[#This Row],[Key_Passes]]*90/Performance_Data[[#This Row],[Minutes_Played]],0)</f>
        <v>7.3469387755102042</v>
      </c>
      <c r="S12" s="5">
        <f>IF(Performance_Data[[#This Row],[Shots]]&gt;0,Performance_Data[[#This Row],[Shots]]*90/Performance_Data[[#This Row],[Minutes_Played]],0)</f>
        <v>0</v>
      </c>
      <c r="T12" s="6">
        <f>IF(Performance_Data[[#This Row],[Successful_Dribbles]]&gt;0,Performance_Data[[#This Row],[Successful_Dribbles]]*90/Performance_Data[[#This Row],[Minutes_Played]],0)</f>
        <v>1.8367346938775511</v>
      </c>
      <c r="U12" s="5">
        <f>IF(Performance_Data[[#This Row],[Duels_Won]]&gt;0,Performance_Data[[#This Row],[Duels_Won]]*90/Performance_Data[[#This Row],[Minutes_Played]],0)</f>
        <v>3.6734693877551021</v>
      </c>
      <c r="V12" s="5">
        <f t="shared" si="1"/>
        <v>0.20224719101123595</v>
      </c>
      <c r="W12" s="5">
        <f t="shared" si="2"/>
        <v>1.3553835327234343</v>
      </c>
      <c r="X12" s="5">
        <f t="shared" si="3"/>
        <v>6.0246216360073257</v>
      </c>
      <c r="Y12" s="5">
        <f t="shared" si="4"/>
        <v>4.9866228919839317</v>
      </c>
      <c r="Z12" s="5">
        <f t="shared" si="5"/>
        <v>4.7340405033727846</v>
      </c>
      <c r="AA12" s="5">
        <f t="shared" si="6"/>
        <v>8.6652640068650069</v>
      </c>
    </row>
    <row r="13" spans="1:27" x14ac:dyDescent="0.3">
      <c r="A13" s="3" t="s">
        <v>56</v>
      </c>
      <c r="B13" s="9" t="s">
        <v>15</v>
      </c>
      <c r="C13" s="3" t="s">
        <v>16</v>
      </c>
      <c r="D13">
        <v>19</v>
      </c>
      <c r="E13" s="3" t="s">
        <v>17</v>
      </c>
      <c r="F13" s="8">
        <v>45669</v>
      </c>
      <c r="G13">
        <v>62</v>
      </c>
      <c r="H13">
        <v>1</v>
      </c>
      <c r="I13">
        <v>1</v>
      </c>
      <c r="J13">
        <v>5</v>
      </c>
      <c r="K13">
        <v>1</v>
      </c>
      <c r="L13">
        <v>5</v>
      </c>
      <c r="M13">
        <v>1</v>
      </c>
      <c r="N13">
        <v>72</v>
      </c>
      <c r="O13">
        <v>10.5</v>
      </c>
      <c r="P13" s="5">
        <f t="shared" si="0"/>
        <v>1.4516129032258065</v>
      </c>
      <c r="Q13" s="5">
        <f>IF(Performance_Data[[#This Row],[Minutes_Played]]&gt;0,Performance_Data[[#This Row],[Assists]]*90/Performance_Data[[#This Row],[Minutes_Played]], 0)</f>
        <v>1.4516129032258065</v>
      </c>
      <c r="R13" s="5">
        <f>IF(Performance_Data[[#This Row],[Key_Passes]]&gt;0,Performance_Data[[#This Row],[Key_Passes]]*90/Performance_Data[[#This Row],[Minutes_Played]],0)</f>
        <v>7.258064516129032</v>
      </c>
      <c r="S13" s="5">
        <f>IF(Performance_Data[[#This Row],[Shots]]&gt;0,Performance_Data[[#This Row],[Shots]]*90/Performance_Data[[#This Row],[Minutes_Played]],0)</f>
        <v>1.4516129032258065</v>
      </c>
      <c r="T13" s="6">
        <f>IF(Performance_Data[[#This Row],[Successful_Dribbles]]&gt;0,Performance_Data[[#This Row],[Successful_Dribbles]]*90/Performance_Data[[#This Row],[Minutes_Played]],0)</f>
        <v>7.258064516129032</v>
      </c>
      <c r="U13" s="5">
        <f>IF(Performance_Data[[#This Row],[Duels_Won]]&gt;0,Performance_Data[[#This Row],[Duels_Won]]*90/Performance_Data[[#This Row],[Minutes_Played]],0)</f>
        <v>1.4516129032258065</v>
      </c>
      <c r="V13" s="5">
        <f t="shared" si="1"/>
        <v>0.29032258064516131</v>
      </c>
      <c r="W13" s="5">
        <f t="shared" si="2"/>
        <v>1.6457061133685955</v>
      </c>
      <c r="X13" s="5">
        <f t="shared" si="3"/>
        <v>6.4649985841769517</v>
      </c>
      <c r="Y13" s="5">
        <f t="shared" si="4"/>
        <v>4.0634623265616767</v>
      </c>
      <c r="Z13" s="5">
        <f t="shared" si="5"/>
        <v>5.1744174515424115</v>
      </c>
      <c r="AA13" s="5">
        <f t="shared" si="6"/>
        <v>6.5286202953753358</v>
      </c>
    </row>
    <row r="14" spans="1:27" x14ac:dyDescent="0.3">
      <c r="A14" s="3" t="s">
        <v>57</v>
      </c>
      <c r="B14" s="9" t="s">
        <v>15</v>
      </c>
      <c r="C14" s="3" t="s">
        <v>16</v>
      </c>
      <c r="D14">
        <v>19</v>
      </c>
      <c r="E14" s="3" t="s">
        <v>17</v>
      </c>
      <c r="F14" s="8">
        <v>45670</v>
      </c>
      <c r="G14">
        <v>61</v>
      </c>
      <c r="H14">
        <v>0</v>
      </c>
      <c r="I14">
        <v>1</v>
      </c>
      <c r="J14">
        <v>6</v>
      </c>
      <c r="K14">
        <v>1</v>
      </c>
      <c r="L14">
        <v>4</v>
      </c>
      <c r="M14">
        <v>11</v>
      </c>
      <c r="N14">
        <v>71</v>
      </c>
      <c r="O14">
        <v>10.4</v>
      </c>
      <c r="P14" s="5">
        <f t="shared" si="0"/>
        <v>0</v>
      </c>
      <c r="Q14" s="5">
        <f>IF(Performance_Data[[#This Row],[Minutes_Played]]&gt;0,Performance_Data[[#This Row],[Assists]]*90/Performance_Data[[#This Row],[Minutes_Played]], 0)</f>
        <v>1.4754098360655739</v>
      </c>
      <c r="R14" s="5">
        <f>IF(Performance_Data[[#This Row],[Key_Passes]]&gt;0,Performance_Data[[#This Row],[Key_Passes]]*90/Performance_Data[[#This Row],[Minutes_Played]],0)</f>
        <v>8.8524590163934427</v>
      </c>
      <c r="S14" s="5">
        <f>IF(Performance_Data[[#This Row],[Shots]]&gt;0,Performance_Data[[#This Row],[Shots]]*90/Performance_Data[[#This Row],[Minutes_Played]],0)</f>
        <v>1.4754098360655739</v>
      </c>
      <c r="T14" s="6">
        <f>IF(Performance_Data[[#This Row],[Successful_Dribbles]]&gt;0,Performance_Data[[#This Row],[Successful_Dribbles]]*90/Performance_Data[[#This Row],[Minutes_Played]],0)</f>
        <v>5.9016393442622954</v>
      </c>
      <c r="U14" s="5">
        <f>IF(Performance_Data[[#This Row],[Duels_Won]]&gt;0,Performance_Data[[#This Row],[Duels_Won]]*90/Performance_Data[[#This Row],[Minutes_Played]],0)</f>
        <v>16.229508196721312</v>
      </c>
      <c r="V14" s="5">
        <f t="shared" si="1"/>
        <v>0.29032258064516131</v>
      </c>
      <c r="W14" s="5">
        <f t="shared" si="2"/>
        <v>1.9407880805817102</v>
      </c>
      <c r="X14" s="5">
        <f t="shared" si="3"/>
        <v>7.2069189588842137</v>
      </c>
      <c r="Y14" s="5">
        <f t="shared" si="4"/>
        <v>4.3585442937747914</v>
      </c>
      <c r="Z14" s="5">
        <f t="shared" si="5"/>
        <v>3.7833167489662984</v>
      </c>
      <c r="AA14" s="5">
        <f t="shared" si="6"/>
        <v>7.7173790775767426</v>
      </c>
    </row>
    <row r="15" spans="1:27" x14ac:dyDescent="0.3">
      <c r="A15" s="3" t="s">
        <v>58</v>
      </c>
      <c r="B15" s="9" t="s">
        <v>15</v>
      </c>
      <c r="C15" s="3" t="s">
        <v>16</v>
      </c>
      <c r="D15">
        <v>19</v>
      </c>
      <c r="E15" s="3" t="s">
        <v>17</v>
      </c>
      <c r="F15" s="8">
        <v>45671</v>
      </c>
      <c r="G15">
        <v>64</v>
      </c>
      <c r="H15">
        <v>1</v>
      </c>
      <c r="I15">
        <v>0</v>
      </c>
      <c r="J15">
        <v>2</v>
      </c>
      <c r="K15">
        <v>0</v>
      </c>
      <c r="L15">
        <v>5</v>
      </c>
      <c r="M15">
        <v>8</v>
      </c>
      <c r="N15">
        <v>83</v>
      </c>
      <c r="O15">
        <v>11.5</v>
      </c>
      <c r="P15" s="5">
        <f t="shared" si="0"/>
        <v>1.40625</v>
      </c>
      <c r="Q15" s="5">
        <f>IF(Performance_Data[[#This Row],[Minutes_Played]]&gt;0,Performance_Data[[#This Row],[Assists]]*90/Performance_Data[[#This Row],[Minutes_Played]], 0)</f>
        <v>0</v>
      </c>
      <c r="R15" s="5">
        <f>IF(Performance_Data[[#This Row],[Key_Passes]]&gt;0,Performance_Data[[#This Row],[Key_Passes]]*90/Performance_Data[[#This Row],[Minutes_Played]],0)</f>
        <v>2.8125</v>
      </c>
      <c r="S15" s="5">
        <f>IF(Performance_Data[[#This Row],[Shots]]&gt;0,Performance_Data[[#This Row],[Shots]]*90/Performance_Data[[#This Row],[Minutes_Played]],0)</f>
        <v>0</v>
      </c>
      <c r="T15" s="6">
        <f>IF(Performance_Data[[#This Row],[Successful_Dribbles]]&gt;0,Performance_Data[[#This Row],[Successful_Dribbles]]*90/Performance_Data[[#This Row],[Minutes_Played]],0)</f>
        <v>7.03125</v>
      </c>
      <c r="U15" s="5">
        <f>IF(Performance_Data[[#This Row],[Duels_Won]]&gt;0,Performance_Data[[#This Row],[Duels_Won]]*90/Performance_Data[[#This Row],[Minutes_Played]],0)</f>
        <v>11.25</v>
      </c>
      <c r="V15" s="5">
        <f t="shared" si="1"/>
        <v>0.57157258064516125</v>
      </c>
      <c r="W15" s="5">
        <f t="shared" si="2"/>
        <v>1.9407880805817102</v>
      </c>
      <c r="X15" s="5">
        <f t="shared" si="3"/>
        <v>5.87468211677895</v>
      </c>
      <c r="Y15" s="5">
        <f t="shared" si="4"/>
        <v>1.5164390306168967</v>
      </c>
      <c r="Z15" s="5">
        <f t="shared" si="5"/>
        <v>4.715882538439983</v>
      </c>
      <c r="AA15" s="5">
        <f t="shared" si="6"/>
        <v>8.0726422354714789</v>
      </c>
    </row>
    <row r="16" spans="1:27" x14ac:dyDescent="0.3">
      <c r="A16" s="3" t="s">
        <v>59</v>
      </c>
      <c r="B16" s="9" t="s">
        <v>15</v>
      </c>
      <c r="C16" s="3" t="s">
        <v>16</v>
      </c>
      <c r="D16">
        <v>19</v>
      </c>
      <c r="E16" s="3" t="s">
        <v>17</v>
      </c>
      <c r="F16" s="8">
        <v>45672</v>
      </c>
      <c r="G16">
        <v>49</v>
      </c>
      <c r="H16">
        <v>0</v>
      </c>
      <c r="I16">
        <v>1</v>
      </c>
      <c r="J16">
        <v>1</v>
      </c>
      <c r="K16">
        <v>2</v>
      </c>
      <c r="L16">
        <v>0</v>
      </c>
      <c r="M16">
        <v>2</v>
      </c>
      <c r="N16">
        <v>81</v>
      </c>
      <c r="O16">
        <v>8.6999999999999993</v>
      </c>
      <c r="P16" s="5">
        <f t="shared" si="0"/>
        <v>0</v>
      </c>
      <c r="Q16" s="5">
        <f>IF(Performance_Data[[#This Row],[Minutes_Played]]&gt;0,Performance_Data[[#This Row],[Assists]]*90/Performance_Data[[#This Row],[Minutes_Played]], 0)</f>
        <v>1.8367346938775511</v>
      </c>
      <c r="R16" s="5">
        <f>IF(Performance_Data[[#This Row],[Key_Passes]]&gt;0,Performance_Data[[#This Row],[Key_Passes]]*90/Performance_Data[[#This Row],[Minutes_Played]],0)</f>
        <v>1.8367346938775511</v>
      </c>
      <c r="S16" s="5">
        <f>IF(Performance_Data[[#This Row],[Shots]]&gt;0,Performance_Data[[#This Row],[Shots]]*90/Performance_Data[[#This Row],[Minutes_Played]],0)</f>
        <v>3.6734693877551021</v>
      </c>
      <c r="T16" s="6">
        <f>IF(Performance_Data[[#This Row],[Successful_Dribbles]]&gt;0,Performance_Data[[#This Row],[Successful_Dribbles]]*90/Performance_Data[[#This Row],[Minutes_Played]],0)</f>
        <v>0</v>
      </c>
      <c r="U16" s="5">
        <f>IF(Performance_Data[[#This Row],[Duels_Won]]&gt;0,Performance_Data[[#This Row],[Duels_Won]]*90/Performance_Data[[#This Row],[Minutes_Played]],0)</f>
        <v>3.6734693877551021</v>
      </c>
      <c r="V16" s="5">
        <f t="shared" si="1"/>
        <v>0.57157258064516125</v>
      </c>
      <c r="W16" s="5">
        <f t="shared" si="2"/>
        <v>1.6874453641848066</v>
      </c>
      <c r="X16" s="5">
        <f t="shared" si="3"/>
        <v>5.6213394003820465</v>
      </c>
      <c r="Y16" s="5">
        <f t="shared" si="4"/>
        <v>1.3200984254092964</v>
      </c>
      <c r="Z16" s="5">
        <f t="shared" si="5"/>
        <v>4.4055377108537757</v>
      </c>
      <c r="AA16" s="5">
        <f t="shared" si="6"/>
        <v>7.2556119750914663</v>
      </c>
    </row>
    <row r="17" spans="1:27" x14ac:dyDescent="0.3">
      <c r="A17" s="3" t="s">
        <v>60</v>
      </c>
      <c r="B17" s="9" t="s">
        <v>15</v>
      </c>
      <c r="C17" s="3" t="s">
        <v>16</v>
      </c>
      <c r="D17">
        <v>19</v>
      </c>
      <c r="E17" s="3" t="s">
        <v>17</v>
      </c>
      <c r="F17" s="8">
        <v>45673</v>
      </c>
      <c r="G17">
        <v>66</v>
      </c>
      <c r="H17">
        <v>0</v>
      </c>
      <c r="I17">
        <v>0</v>
      </c>
      <c r="J17">
        <v>6</v>
      </c>
      <c r="K17">
        <v>2</v>
      </c>
      <c r="L17">
        <v>2</v>
      </c>
      <c r="M17">
        <v>10</v>
      </c>
      <c r="N17">
        <v>79</v>
      </c>
      <c r="O17">
        <v>10</v>
      </c>
      <c r="P17" s="5">
        <f t="shared" si="0"/>
        <v>0</v>
      </c>
      <c r="Q17" s="5">
        <f>IF(Performance_Data[[#This Row],[Minutes_Played]]&gt;0,Performance_Data[[#This Row],[Assists]]*90/Performance_Data[[#This Row],[Minutes_Played]], 0)</f>
        <v>0</v>
      </c>
      <c r="R17" s="5">
        <f>IF(Performance_Data[[#This Row],[Key_Passes]]&gt;0,Performance_Data[[#This Row],[Key_Passes]]*90/Performance_Data[[#This Row],[Minutes_Played]],0)</f>
        <v>8.1818181818181817</v>
      </c>
      <c r="S17" s="5">
        <f>IF(Performance_Data[[#This Row],[Shots]]&gt;0,Performance_Data[[#This Row],[Shots]]*90/Performance_Data[[#This Row],[Minutes_Played]],0)</f>
        <v>2.7272727272727271</v>
      </c>
      <c r="T17" s="6">
        <f>IF(Performance_Data[[#This Row],[Successful_Dribbles]]&gt;0,Performance_Data[[#This Row],[Successful_Dribbles]]*90/Performance_Data[[#This Row],[Minutes_Played]],0)</f>
        <v>2.7272727272727271</v>
      </c>
      <c r="U17" s="5">
        <f>IF(Performance_Data[[#This Row],[Duels_Won]]&gt;0,Performance_Data[[#This Row],[Duels_Won]]*90/Performance_Data[[#This Row],[Minutes_Played]],0)</f>
        <v>13.636363636363637</v>
      </c>
      <c r="V17" s="5">
        <f t="shared" si="1"/>
        <v>0.57157258064516125</v>
      </c>
      <c r="W17" s="5">
        <f t="shared" si="2"/>
        <v>0.95275148663378617</v>
      </c>
      <c r="X17" s="5">
        <f t="shared" si="3"/>
        <v>5.7883152816436425</v>
      </c>
      <c r="Y17" s="5">
        <f t="shared" si="4"/>
        <v>1.8655529708638419</v>
      </c>
      <c r="Z17" s="5">
        <f t="shared" si="5"/>
        <v>4.5836453175328113</v>
      </c>
      <c r="AA17" s="5">
        <f t="shared" si="6"/>
        <v>9.2481908248131734</v>
      </c>
    </row>
    <row r="18" spans="1:27" x14ac:dyDescent="0.3">
      <c r="A18" s="3" t="s">
        <v>61</v>
      </c>
      <c r="B18" s="9" t="s">
        <v>15</v>
      </c>
      <c r="C18" s="3" t="s">
        <v>16</v>
      </c>
      <c r="D18">
        <v>19</v>
      </c>
      <c r="E18" s="3" t="s">
        <v>17</v>
      </c>
      <c r="F18" s="8">
        <v>45674</v>
      </c>
      <c r="G18">
        <v>77</v>
      </c>
      <c r="H18">
        <v>2</v>
      </c>
      <c r="I18">
        <v>0</v>
      </c>
      <c r="J18">
        <v>3</v>
      </c>
      <c r="K18">
        <v>5</v>
      </c>
      <c r="L18">
        <v>8</v>
      </c>
      <c r="M18">
        <v>1</v>
      </c>
      <c r="N18">
        <v>88</v>
      </c>
      <c r="O18">
        <v>11.3</v>
      </c>
      <c r="P18" s="5">
        <f t="shared" si="0"/>
        <v>2.3376623376623376</v>
      </c>
      <c r="Q18" s="5">
        <f>IF(Performance_Data[[#This Row],[Minutes_Played]]&gt;0,Performance_Data[[#This Row],[Assists]]*90/Performance_Data[[#This Row],[Minutes_Played]], 0)</f>
        <v>0</v>
      </c>
      <c r="R18" s="5">
        <f>IF(Performance_Data[[#This Row],[Key_Passes]]&gt;0,Performance_Data[[#This Row],[Key_Passes]]*90/Performance_Data[[#This Row],[Minutes_Played]],0)</f>
        <v>3.5064935064935066</v>
      </c>
      <c r="S18" s="5">
        <f>IF(Performance_Data[[#This Row],[Shots]]&gt;0,Performance_Data[[#This Row],[Shots]]*90/Performance_Data[[#This Row],[Minutes_Played]],0)</f>
        <v>5.8441558441558445</v>
      </c>
      <c r="T18" s="6">
        <f>IF(Performance_Data[[#This Row],[Successful_Dribbles]]&gt;0,Performance_Data[[#This Row],[Successful_Dribbles]]*90/Performance_Data[[#This Row],[Minutes_Played]],0)</f>
        <v>9.3506493506493502</v>
      </c>
      <c r="U18" s="5">
        <f>IF(Performance_Data[[#This Row],[Duels_Won]]&gt;0,Performance_Data[[#This Row],[Duels_Won]]*90/Performance_Data[[#This Row],[Minutes_Played]],0)</f>
        <v>1.1688311688311688</v>
      </c>
      <c r="V18" s="5">
        <f t="shared" si="1"/>
        <v>0.74878246753246747</v>
      </c>
      <c r="W18" s="5">
        <f t="shared" si="2"/>
        <v>0.66242890598862503</v>
      </c>
      <c r="X18" s="5">
        <f t="shared" si="3"/>
        <v>5.038001079716536</v>
      </c>
      <c r="Y18" s="5">
        <f t="shared" si="4"/>
        <v>2.7440615590498494</v>
      </c>
      <c r="Z18" s="5">
        <f t="shared" si="5"/>
        <v>5.0021622844368752</v>
      </c>
      <c r="AA18" s="5">
        <f t="shared" si="6"/>
        <v>9.1916344779342438</v>
      </c>
    </row>
    <row r="19" spans="1:27" x14ac:dyDescent="0.3">
      <c r="A19" s="3" t="s">
        <v>62</v>
      </c>
      <c r="B19" s="9" t="s">
        <v>15</v>
      </c>
      <c r="C19" s="3" t="s">
        <v>16</v>
      </c>
      <c r="D19">
        <v>19</v>
      </c>
      <c r="E19" s="3" t="s">
        <v>17</v>
      </c>
      <c r="F19" s="8">
        <v>45675</v>
      </c>
      <c r="G19">
        <v>72</v>
      </c>
      <c r="H19">
        <v>2</v>
      </c>
      <c r="I19">
        <v>2</v>
      </c>
      <c r="J19">
        <v>1</v>
      </c>
      <c r="K19">
        <v>5</v>
      </c>
      <c r="L19">
        <v>5</v>
      </c>
      <c r="M19">
        <v>7</v>
      </c>
      <c r="N19">
        <v>88</v>
      </c>
      <c r="O19">
        <v>11.7</v>
      </c>
      <c r="P19" s="5">
        <f t="shared" si="0"/>
        <v>2.5</v>
      </c>
      <c r="Q19" s="5">
        <f>IF(Performance_Data[[#This Row],[Minutes_Played]]&gt;0,Performance_Data[[#This Row],[Assists]]*90/Performance_Data[[#This Row],[Minutes_Played]], 0)</f>
        <v>2.5</v>
      </c>
      <c r="R19" s="5">
        <f>IF(Performance_Data[[#This Row],[Key_Passes]]&gt;0,Performance_Data[[#This Row],[Key_Passes]]*90/Performance_Data[[#This Row],[Minutes_Played]],0)</f>
        <v>1.25</v>
      </c>
      <c r="S19" s="5">
        <f>IF(Performance_Data[[#This Row],[Shots]]&gt;0,Performance_Data[[#This Row],[Shots]]*90/Performance_Data[[#This Row],[Minutes_Played]],0)</f>
        <v>6.25</v>
      </c>
      <c r="T19" s="6">
        <f>IF(Performance_Data[[#This Row],[Successful_Dribbles]]&gt;0,Performance_Data[[#This Row],[Successful_Dribbles]]*90/Performance_Data[[#This Row],[Minutes_Played]],0)</f>
        <v>6.25</v>
      </c>
      <c r="U19" s="5">
        <f>IF(Performance_Data[[#This Row],[Duels_Won]]&gt;0,Performance_Data[[#This Row],[Duels_Won]]*90/Performance_Data[[#This Row],[Minutes_Played]],0)</f>
        <v>8.75</v>
      </c>
      <c r="V19" s="5">
        <f t="shared" si="1"/>
        <v>1.2487824675324675</v>
      </c>
      <c r="W19" s="5">
        <f t="shared" si="2"/>
        <v>0.86734693877551017</v>
      </c>
      <c r="X19" s="5">
        <f t="shared" si="3"/>
        <v>3.5175092764378477</v>
      </c>
      <c r="Y19" s="5">
        <f t="shared" si="4"/>
        <v>3.6989795918367347</v>
      </c>
      <c r="Z19" s="5">
        <f t="shared" si="5"/>
        <v>5.0718344155844148</v>
      </c>
      <c r="AA19" s="5">
        <f t="shared" si="6"/>
        <v>7.695732838589981</v>
      </c>
    </row>
    <row r="20" spans="1:27" x14ac:dyDescent="0.3">
      <c r="A20" s="3" t="s">
        <v>63</v>
      </c>
      <c r="B20" s="9" t="s">
        <v>15</v>
      </c>
      <c r="C20" s="3" t="s">
        <v>16</v>
      </c>
      <c r="D20">
        <v>19</v>
      </c>
      <c r="E20" s="3" t="s">
        <v>17</v>
      </c>
      <c r="F20" s="8">
        <v>45676</v>
      </c>
      <c r="G20">
        <v>48</v>
      </c>
      <c r="H20">
        <v>1</v>
      </c>
      <c r="I20">
        <v>2</v>
      </c>
      <c r="J20">
        <v>3</v>
      </c>
      <c r="K20">
        <v>4</v>
      </c>
      <c r="L20">
        <v>7</v>
      </c>
      <c r="M20">
        <v>12</v>
      </c>
      <c r="N20">
        <v>88</v>
      </c>
      <c r="O20">
        <v>9.8000000000000007</v>
      </c>
      <c r="P20" s="5">
        <f t="shared" si="0"/>
        <v>1.875</v>
      </c>
      <c r="Q20" s="5">
        <f>IF(Performance_Data[[#This Row],[Minutes_Played]]&gt;0,Performance_Data[[#This Row],[Assists]]*90/Performance_Data[[#This Row],[Minutes_Played]], 0)</f>
        <v>3.75</v>
      </c>
      <c r="R20" s="5">
        <f>IF(Performance_Data[[#This Row],[Key_Passes]]&gt;0,Performance_Data[[#This Row],[Key_Passes]]*90/Performance_Data[[#This Row],[Minutes_Played]],0)</f>
        <v>5.625</v>
      </c>
      <c r="S20" s="5">
        <f>IF(Performance_Data[[#This Row],[Shots]]&gt;0,Performance_Data[[#This Row],[Shots]]*90/Performance_Data[[#This Row],[Minutes_Played]],0)</f>
        <v>7.5</v>
      </c>
      <c r="T20" s="6">
        <f>IF(Performance_Data[[#This Row],[Successful_Dribbles]]&gt;0,Performance_Data[[#This Row],[Successful_Dribbles]]*90/Performance_Data[[#This Row],[Minutes_Played]],0)</f>
        <v>13.125</v>
      </c>
      <c r="U20" s="5">
        <f>IF(Performance_Data[[#This Row],[Duels_Won]]&gt;0,Performance_Data[[#This Row],[Duels_Won]]*90/Performance_Data[[#This Row],[Minutes_Played]],0)</f>
        <v>22.5</v>
      </c>
      <c r="V20" s="5">
        <f t="shared" si="1"/>
        <v>1.3425324675324675</v>
      </c>
      <c r="W20" s="5">
        <f t="shared" si="2"/>
        <v>1.6173469387755102</v>
      </c>
      <c r="X20" s="5">
        <f t="shared" si="3"/>
        <v>4.0800092764378473</v>
      </c>
      <c r="Y20" s="5">
        <f t="shared" si="4"/>
        <v>5.1989795918367347</v>
      </c>
      <c r="Z20" s="5">
        <f t="shared" si="5"/>
        <v>6.2905844155844148</v>
      </c>
      <c r="AA20" s="5">
        <f t="shared" si="6"/>
        <v>9.945732838589981</v>
      </c>
    </row>
    <row r="21" spans="1:27" x14ac:dyDescent="0.3">
      <c r="A21" s="3" t="s">
        <v>64</v>
      </c>
      <c r="B21" s="9" t="s">
        <v>15</v>
      </c>
      <c r="C21" s="3" t="s">
        <v>16</v>
      </c>
      <c r="D21">
        <v>19</v>
      </c>
      <c r="E21" s="3" t="s">
        <v>17</v>
      </c>
      <c r="F21" s="8">
        <v>45677</v>
      </c>
      <c r="G21">
        <v>83</v>
      </c>
      <c r="H21">
        <v>2</v>
      </c>
      <c r="I21">
        <v>0</v>
      </c>
      <c r="J21">
        <v>6</v>
      </c>
      <c r="K21">
        <v>1</v>
      </c>
      <c r="L21">
        <v>5</v>
      </c>
      <c r="M21">
        <v>1</v>
      </c>
      <c r="N21">
        <v>66</v>
      </c>
      <c r="O21">
        <v>11.4</v>
      </c>
      <c r="P21" s="5">
        <f t="shared" si="0"/>
        <v>2.1686746987951806</v>
      </c>
      <c r="Q21" s="5">
        <f>IF(Performance_Data[[#This Row],[Minutes_Played]]&gt;0,Performance_Data[[#This Row],[Assists]]*90/Performance_Data[[#This Row],[Minutes_Played]], 0)</f>
        <v>0</v>
      </c>
      <c r="R21" s="5">
        <f>IF(Performance_Data[[#This Row],[Key_Passes]]&gt;0,Performance_Data[[#This Row],[Key_Passes]]*90/Performance_Data[[#This Row],[Minutes_Played]],0)</f>
        <v>6.5060240963855422</v>
      </c>
      <c r="S21" s="5">
        <f>IF(Performance_Data[[#This Row],[Shots]]&gt;0,Performance_Data[[#This Row],[Shots]]*90/Performance_Data[[#This Row],[Minutes_Played]],0)</f>
        <v>1.0843373493975903</v>
      </c>
      <c r="T21" s="6">
        <f>IF(Performance_Data[[#This Row],[Successful_Dribbles]]&gt;0,Performance_Data[[#This Row],[Successful_Dribbles]]*90/Performance_Data[[#This Row],[Minutes_Played]],0)</f>
        <v>5.4216867469879517</v>
      </c>
      <c r="U21" s="5">
        <f>IF(Performance_Data[[#This Row],[Duels_Won]]&gt;0,Performance_Data[[#This Row],[Duels_Won]]*90/Performance_Data[[#This Row],[Minutes_Played]],0)</f>
        <v>1.0843373493975903</v>
      </c>
      <c r="V21" s="5">
        <f t="shared" si="1"/>
        <v>1.7762674072915037</v>
      </c>
      <c r="W21" s="5">
        <f t="shared" si="2"/>
        <v>1.25</v>
      </c>
      <c r="X21" s="5">
        <f t="shared" si="3"/>
        <v>5.0138671569394457</v>
      </c>
      <c r="Y21" s="5">
        <f t="shared" si="4"/>
        <v>4.6811531841652316</v>
      </c>
      <c r="Z21" s="5">
        <f t="shared" si="5"/>
        <v>7.3749217649820054</v>
      </c>
      <c r="AA21" s="5">
        <f t="shared" si="6"/>
        <v>9.4279064309184797</v>
      </c>
    </row>
    <row r="22" spans="1:27" x14ac:dyDescent="0.3">
      <c r="A22" s="3" t="s">
        <v>65</v>
      </c>
      <c r="B22" s="9" t="s">
        <v>18</v>
      </c>
      <c r="C22" s="3" t="s">
        <v>19</v>
      </c>
      <c r="D22">
        <v>20</v>
      </c>
      <c r="E22" s="3" t="s">
        <v>20</v>
      </c>
      <c r="F22" s="8">
        <v>45678</v>
      </c>
      <c r="G22">
        <v>44</v>
      </c>
      <c r="H22">
        <v>2</v>
      </c>
      <c r="I22">
        <v>2</v>
      </c>
      <c r="J22">
        <v>3</v>
      </c>
      <c r="K22">
        <v>6</v>
      </c>
      <c r="L22">
        <v>7</v>
      </c>
      <c r="M22">
        <v>12</v>
      </c>
      <c r="N22">
        <v>81</v>
      </c>
      <c r="O22">
        <v>8.1999999999999993</v>
      </c>
      <c r="P22" s="5">
        <f t="shared" si="0"/>
        <v>4.0909090909090908</v>
      </c>
      <c r="Q22" s="5">
        <f>IF(Performance_Data[[#This Row],[Minutes_Played]]&gt;0,Performance_Data[[#This Row],[Assists]]*90/Performance_Data[[#This Row],[Minutes_Played]], 0)</f>
        <v>4.0909090909090908</v>
      </c>
      <c r="R22" s="5">
        <f>IF(Performance_Data[[#This Row],[Key_Passes]]&gt;0,Performance_Data[[#This Row],[Key_Passes]]*90/Performance_Data[[#This Row],[Minutes_Played]],0)</f>
        <v>6.1363636363636367</v>
      </c>
      <c r="S22" s="5">
        <f>IF(Performance_Data[[#This Row],[Shots]]&gt;0,Performance_Data[[#This Row],[Shots]]*90/Performance_Data[[#This Row],[Minutes_Played]],0)</f>
        <v>12.272727272727273</v>
      </c>
      <c r="T22" s="6">
        <f>IF(Performance_Data[[#This Row],[Successful_Dribbles]]&gt;0,Performance_Data[[#This Row],[Successful_Dribbles]]*90/Performance_Data[[#This Row],[Minutes_Played]],0)</f>
        <v>14.318181818181818</v>
      </c>
      <c r="U22" s="5">
        <f>IF(Performance_Data[[#This Row],[Duels_Won]]&gt;0,Performance_Data[[#This Row],[Duels_Won]]*90/Performance_Data[[#This Row],[Minutes_Played]],0)</f>
        <v>24.545454545454547</v>
      </c>
      <c r="V22" s="5" t="str">
        <f t="shared" si="1"/>
        <v/>
      </c>
      <c r="W22" s="5" t="str">
        <f t="shared" si="2"/>
        <v/>
      </c>
      <c r="X22" s="5" t="str">
        <f t="shared" si="3"/>
        <v/>
      </c>
      <c r="Y22" s="5" t="str">
        <f t="shared" si="4"/>
        <v/>
      </c>
      <c r="Z22" s="5" t="str">
        <f t="shared" si="5"/>
        <v/>
      </c>
      <c r="AA22" s="5" t="str">
        <f t="shared" si="6"/>
        <v/>
      </c>
    </row>
    <row r="23" spans="1:27" x14ac:dyDescent="0.3">
      <c r="A23" s="3" t="s">
        <v>66</v>
      </c>
      <c r="B23" s="9" t="s">
        <v>18</v>
      </c>
      <c r="C23" s="3" t="s">
        <v>19</v>
      </c>
      <c r="D23">
        <v>20</v>
      </c>
      <c r="E23" s="3" t="s">
        <v>20</v>
      </c>
      <c r="F23" s="8">
        <v>45679</v>
      </c>
      <c r="G23">
        <v>46</v>
      </c>
      <c r="H23">
        <v>1</v>
      </c>
      <c r="I23">
        <v>0</v>
      </c>
      <c r="J23">
        <v>4</v>
      </c>
      <c r="K23">
        <v>4</v>
      </c>
      <c r="L23">
        <v>7</v>
      </c>
      <c r="M23">
        <v>6</v>
      </c>
      <c r="N23">
        <v>84</v>
      </c>
      <c r="O23">
        <v>11.6</v>
      </c>
      <c r="P23" s="5">
        <f t="shared" si="0"/>
        <v>1.9565217391304348</v>
      </c>
      <c r="Q23" s="5">
        <f>IF(Performance_Data[[#This Row],[Minutes_Played]]&gt;0,Performance_Data[[#This Row],[Assists]]*90/Performance_Data[[#This Row],[Minutes_Played]], 0)</f>
        <v>0</v>
      </c>
      <c r="R23" s="5">
        <f>IF(Performance_Data[[#This Row],[Key_Passes]]&gt;0,Performance_Data[[#This Row],[Key_Passes]]*90/Performance_Data[[#This Row],[Minutes_Played]],0)</f>
        <v>7.8260869565217392</v>
      </c>
      <c r="S23" s="5">
        <f>IF(Performance_Data[[#This Row],[Shots]]&gt;0,Performance_Data[[#This Row],[Shots]]*90/Performance_Data[[#This Row],[Minutes_Played]],0)</f>
        <v>7.8260869565217392</v>
      </c>
      <c r="T23" s="6">
        <f>IF(Performance_Data[[#This Row],[Successful_Dribbles]]&gt;0,Performance_Data[[#This Row],[Successful_Dribbles]]*90/Performance_Data[[#This Row],[Minutes_Played]],0)</f>
        <v>13.695652173913043</v>
      </c>
      <c r="U23" s="5">
        <f>IF(Performance_Data[[#This Row],[Duels_Won]]&gt;0,Performance_Data[[#This Row],[Duels_Won]]*90/Performance_Data[[#This Row],[Minutes_Played]],0)</f>
        <v>11.739130434782609</v>
      </c>
      <c r="V23" s="5" t="str">
        <f t="shared" si="1"/>
        <v/>
      </c>
      <c r="W23" s="5" t="str">
        <f t="shared" si="2"/>
        <v/>
      </c>
      <c r="X23" s="5" t="str">
        <f t="shared" si="3"/>
        <v/>
      </c>
      <c r="Y23" s="5" t="str">
        <f t="shared" si="4"/>
        <v/>
      </c>
      <c r="Z23" s="5" t="str">
        <f t="shared" si="5"/>
        <v/>
      </c>
      <c r="AA23" s="5" t="str">
        <f t="shared" si="6"/>
        <v/>
      </c>
    </row>
    <row r="24" spans="1:27" x14ac:dyDescent="0.3">
      <c r="A24" s="3" t="s">
        <v>67</v>
      </c>
      <c r="B24" s="9" t="s">
        <v>18</v>
      </c>
      <c r="C24" s="3" t="s">
        <v>19</v>
      </c>
      <c r="D24">
        <v>20</v>
      </c>
      <c r="E24" s="3" t="s">
        <v>20</v>
      </c>
      <c r="F24" s="8">
        <v>45680</v>
      </c>
      <c r="G24">
        <v>86</v>
      </c>
      <c r="H24">
        <v>1</v>
      </c>
      <c r="I24">
        <v>0</v>
      </c>
      <c r="J24">
        <v>0</v>
      </c>
      <c r="K24">
        <v>2</v>
      </c>
      <c r="L24">
        <v>8</v>
      </c>
      <c r="M24">
        <v>5</v>
      </c>
      <c r="N24">
        <v>75</v>
      </c>
      <c r="O24">
        <v>11.1</v>
      </c>
      <c r="P24" s="5">
        <f t="shared" si="0"/>
        <v>1.0465116279069768</v>
      </c>
      <c r="Q24" s="5">
        <f>IF(Performance_Data[[#This Row],[Minutes_Played]]&gt;0,Performance_Data[[#This Row],[Assists]]*90/Performance_Data[[#This Row],[Minutes_Played]], 0)</f>
        <v>0</v>
      </c>
      <c r="R24" s="5">
        <f>IF(Performance_Data[[#This Row],[Key_Passes]]&gt;0,Performance_Data[[#This Row],[Key_Passes]]*90/Performance_Data[[#This Row],[Minutes_Played]],0)</f>
        <v>0</v>
      </c>
      <c r="S24" s="5">
        <f>IF(Performance_Data[[#This Row],[Shots]]&gt;0,Performance_Data[[#This Row],[Shots]]*90/Performance_Data[[#This Row],[Minutes_Played]],0)</f>
        <v>2.0930232558139537</v>
      </c>
      <c r="T24" s="6">
        <f>IF(Performance_Data[[#This Row],[Successful_Dribbles]]&gt;0,Performance_Data[[#This Row],[Successful_Dribbles]]*90/Performance_Data[[#This Row],[Minutes_Played]],0)</f>
        <v>8.3720930232558146</v>
      </c>
      <c r="U24" s="5">
        <f>IF(Performance_Data[[#This Row],[Duels_Won]]&gt;0,Performance_Data[[#This Row],[Duels_Won]]*90/Performance_Data[[#This Row],[Minutes_Played]],0)</f>
        <v>5.2325581395348841</v>
      </c>
      <c r="V24" s="5" t="str">
        <f t="shared" si="1"/>
        <v/>
      </c>
      <c r="W24" s="5" t="str">
        <f t="shared" si="2"/>
        <v/>
      </c>
      <c r="X24" s="5" t="str">
        <f t="shared" si="3"/>
        <v/>
      </c>
      <c r="Y24" s="5" t="str">
        <f t="shared" si="4"/>
        <v/>
      </c>
      <c r="Z24" s="5" t="str">
        <f t="shared" si="5"/>
        <v/>
      </c>
      <c r="AA24" s="5" t="str">
        <f t="shared" si="6"/>
        <v/>
      </c>
    </row>
    <row r="25" spans="1:27" x14ac:dyDescent="0.3">
      <c r="A25" s="3" t="s">
        <v>68</v>
      </c>
      <c r="B25" s="9" t="s">
        <v>18</v>
      </c>
      <c r="C25" s="3" t="s">
        <v>19</v>
      </c>
      <c r="D25">
        <v>20</v>
      </c>
      <c r="E25" s="3" t="s">
        <v>20</v>
      </c>
      <c r="F25" s="8">
        <v>45681</v>
      </c>
      <c r="G25">
        <v>74</v>
      </c>
      <c r="H25">
        <v>0</v>
      </c>
      <c r="I25">
        <v>2</v>
      </c>
      <c r="J25">
        <v>6</v>
      </c>
      <c r="K25">
        <v>6</v>
      </c>
      <c r="L25">
        <v>3</v>
      </c>
      <c r="M25">
        <v>7</v>
      </c>
      <c r="N25">
        <v>90</v>
      </c>
      <c r="O25">
        <v>10.199999999999999</v>
      </c>
      <c r="P25" s="5">
        <f t="shared" si="0"/>
        <v>0</v>
      </c>
      <c r="Q25" s="5">
        <f>IF(Performance_Data[[#This Row],[Minutes_Played]]&gt;0,Performance_Data[[#This Row],[Assists]]*90/Performance_Data[[#This Row],[Minutes_Played]], 0)</f>
        <v>2.4324324324324325</v>
      </c>
      <c r="R25" s="5">
        <f>IF(Performance_Data[[#This Row],[Key_Passes]]&gt;0,Performance_Data[[#This Row],[Key_Passes]]*90/Performance_Data[[#This Row],[Minutes_Played]],0)</f>
        <v>7.2972972972972974</v>
      </c>
      <c r="S25" s="5">
        <f>IF(Performance_Data[[#This Row],[Shots]]&gt;0,Performance_Data[[#This Row],[Shots]]*90/Performance_Data[[#This Row],[Minutes_Played]],0)</f>
        <v>7.2972972972972974</v>
      </c>
      <c r="T25" s="6">
        <f>IF(Performance_Data[[#This Row],[Successful_Dribbles]]&gt;0,Performance_Data[[#This Row],[Successful_Dribbles]]*90/Performance_Data[[#This Row],[Minutes_Played]],0)</f>
        <v>3.6486486486486487</v>
      </c>
      <c r="U25" s="5">
        <f>IF(Performance_Data[[#This Row],[Duels_Won]]&gt;0,Performance_Data[[#This Row],[Duels_Won]]*90/Performance_Data[[#This Row],[Minutes_Played]],0)</f>
        <v>8.513513513513514</v>
      </c>
      <c r="V25" s="5" t="str">
        <f t="shared" si="1"/>
        <v/>
      </c>
      <c r="W25" s="5" t="str">
        <f t="shared" si="2"/>
        <v/>
      </c>
      <c r="X25" s="5" t="str">
        <f t="shared" si="3"/>
        <v/>
      </c>
      <c r="Y25" s="5" t="str">
        <f t="shared" si="4"/>
        <v/>
      </c>
      <c r="Z25" s="5" t="str">
        <f t="shared" si="5"/>
        <v/>
      </c>
      <c r="AA25" s="5" t="str">
        <f t="shared" si="6"/>
        <v/>
      </c>
    </row>
    <row r="26" spans="1:27" x14ac:dyDescent="0.3">
      <c r="A26" s="3" t="s">
        <v>69</v>
      </c>
      <c r="B26" s="9" t="s">
        <v>18</v>
      </c>
      <c r="C26" s="3" t="s">
        <v>19</v>
      </c>
      <c r="D26">
        <v>20</v>
      </c>
      <c r="E26" s="3" t="s">
        <v>20</v>
      </c>
      <c r="F26" s="8">
        <v>45682</v>
      </c>
      <c r="G26">
        <v>80</v>
      </c>
      <c r="H26">
        <v>0</v>
      </c>
      <c r="I26">
        <v>0</v>
      </c>
      <c r="J26">
        <v>5</v>
      </c>
      <c r="K26">
        <v>1</v>
      </c>
      <c r="L26">
        <v>6</v>
      </c>
      <c r="M26">
        <v>2</v>
      </c>
      <c r="N26">
        <v>85</v>
      </c>
      <c r="O26">
        <v>10.7</v>
      </c>
      <c r="P26" s="5">
        <f t="shared" si="0"/>
        <v>0</v>
      </c>
      <c r="Q26" s="5">
        <f>IF(Performance_Data[[#This Row],[Minutes_Played]]&gt;0,Performance_Data[[#This Row],[Assists]]*90/Performance_Data[[#This Row],[Minutes_Played]], 0)</f>
        <v>0</v>
      </c>
      <c r="R26" s="5">
        <f>IF(Performance_Data[[#This Row],[Key_Passes]]&gt;0,Performance_Data[[#This Row],[Key_Passes]]*90/Performance_Data[[#This Row],[Minutes_Played]],0)</f>
        <v>5.625</v>
      </c>
      <c r="S26" s="5">
        <f>IF(Performance_Data[[#This Row],[Shots]]&gt;0,Performance_Data[[#This Row],[Shots]]*90/Performance_Data[[#This Row],[Minutes_Played]],0)</f>
        <v>1.125</v>
      </c>
      <c r="T26" s="6">
        <f>IF(Performance_Data[[#This Row],[Successful_Dribbles]]&gt;0,Performance_Data[[#This Row],[Successful_Dribbles]]*90/Performance_Data[[#This Row],[Minutes_Played]],0)</f>
        <v>6.75</v>
      </c>
      <c r="U26" s="5">
        <f>IF(Performance_Data[[#This Row],[Duels_Won]]&gt;0,Performance_Data[[#This Row],[Duels_Won]]*90/Performance_Data[[#This Row],[Minutes_Played]],0)</f>
        <v>2.25</v>
      </c>
      <c r="V26" s="5">
        <f t="shared" si="1"/>
        <v>1.4187884915893005</v>
      </c>
      <c r="W26" s="5">
        <f t="shared" si="2"/>
        <v>1.3046683046683047</v>
      </c>
      <c r="X26" s="5">
        <f t="shared" si="3"/>
        <v>5.3769495780365348</v>
      </c>
      <c r="Y26" s="5">
        <f t="shared" si="4"/>
        <v>6.1228269564720526</v>
      </c>
      <c r="Z26" s="5">
        <f t="shared" si="5"/>
        <v>9.3569151327998643</v>
      </c>
      <c r="AA26" s="5">
        <f t="shared" si="6"/>
        <v>10.456131326657111</v>
      </c>
    </row>
    <row r="27" spans="1:27" x14ac:dyDescent="0.3">
      <c r="A27" s="3" t="s">
        <v>70</v>
      </c>
      <c r="B27" s="9" t="s">
        <v>18</v>
      </c>
      <c r="C27" s="3" t="s">
        <v>19</v>
      </c>
      <c r="D27">
        <v>20</v>
      </c>
      <c r="E27" s="3" t="s">
        <v>20</v>
      </c>
      <c r="F27" s="8">
        <v>45683</v>
      </c>
      <c r="G27">
        <v>75</v>
      </c>
      <c r="H27">
        <v>0</v>
      </c>
      <c r="I27">
        <v>0</v>
      </c>
      <c r="J27">
        <v>5</v>
      </c>
      <c r="K27">
        <v>4</v>
      </c>
      <c r="L27">
        <v>8</v>
      </c>
      <c r="M27">
        <v>3</v>
      </c>
      <c r="N27">
        <v>81</v>
      </c>
      <c r="O27">
        <v>9.6</v>
      </c>
      <c r="P27" s="5">
        <f t="shared" si="0"/>
        <v>0</v>
      </c>
      <c r="Q27" s="5">
        <f>IF(Performance_Data[[#This Row],[Minutes_Played]]&gt;0,Performance_Data[[#This Row],[Assists]]*90/Performance_Data[[#This Row],[Minutes_Played]], 0)</f>
        <v>0</v>
      </c>
      <c r="R27" s="5">
        <f>IF(Performance_Data[[#This Row],[Key_Passes]]&gt;0,Performance_Data[[#This Row],[Key_Passes]]*90/Performance_Data[[#This Row],[Minutes_Played]],0)</f>
        <v>6</v>
      </c>
      <c r="S27" s="5">
        <f>IF(Performance_Data[[#This Row],[Shots]]&gt;0,Performance_Data[[#This Row],[Shots]]*90/Performance_Data[[#This Row],[Minutes_Played]],0)</f>
        <v>4.8</v>
      </c>
      <c r="T27" s="6">
        <f>IF(Performance_Data[[#This Row],[Successful_Dribbles]]&gt;0,Performance_Data[[#This Row],[Successful_Dribbles]]*90/Performance_Data[[#This Row],[Minutes_Played]],0)</f>
        <v>9.6</v>
      </c>
      <c r="U27" s="5">
        <f>IF(Performance_Data[[#This Row],[Duels_Won]]&gt;0,Performance_Data[[#This Row],[Duels_Won]]*90/Performance_Data[[#This Row],[Minutes_Played]],0)</f>
        <v>3.6</v>
      </c>
      <c r="V27" s="5">
        <f t="shared" si="1"/>
        <v>0.60060667340748231</v>
      </c>
      <c r="W27" s="5">
        <f t="shared" si="2"/>
        <v>0.48648648648648651</v>
      </c>
      <c r="X27" s="5">
        <f t="shared" si="3"/>
        <v>5.3496768507638075</v>
      </c>
      <c r="Y27" s="5">
        <f t="shared" si="4"/>
        <v>4.6282815019265984</v>
      </c>
      <c r="Z27" s="5">
        <f t="shared" si="5"/>
        <v>8.4132787691635009</v>
      </c>
      <c r="AA27" s="5">
        <f t="shared" si="6"/>
        <v>6.2670404175662018</v>
      </c>
    </row>
    <row r="28" spans="1:27" x14ac:dyDescent="0.3">
      <c r="A28" s="3" t="s">
        <v>71</v>
      </c>
      <c r="B28" s="9" t="s">
        <v>18</v>
      </c>
      <c r="C28" s="3" t="s">
        <v>19</v>
      </c>
      <c r="D28">
        <v>20</v>
      </c>
      <c r="E28" s="3" t="s">
        <v>20</v>
      </c>
      <c r="F28" s="8">
        <v>45684</v>
      </c>
      <c r="G28">
        <v>37</v>
      </c>
      <c r="H28">
        <v>2</v>
      </c>
      <c r="I28">
        <v>0</v>
      </c>
      <c r="J28">
        <v>2</v>
      </c>
      <c r="K28">
        <v>3</v>
      </c>
      <c r="L28">
        <v>4</v>
      </c>
      <c r="M28">
        <v>8</v>
      </c>
      <c r="N28">
        <v>77</v>
      </c>
      <c r="O28">
        <v>10.8</v>
      </c>
      <c r="P28" s="5">
        <f t="shared" si="0"/>
        <v>4.8648648648648649</v>
      </c>
      <c r="Q28" s="5">
        <f>IF(Performance_Data[[#This Row],[Minutes_Played]]&gt;0,Performance_Data[[#This Row],[Assists]]*90/Performance_Data[[#This Row],[Minutes_Played]], 0)</f>
        <v>0</v>
      </c>
      <c r="R28" s="5">
        <f>IF(Performance_Data[[#This Row],[Key_Passes]]&gt;0,Performance_Data[[#This Row],[Key_Passes]]*90/Performance_Data[[#This Row],[Minutes_Played]],0)</f>
        <v>4.8648648648648649</v>
      </c>
      <c r="S28" s="5">
        <f>IF(Performance_Data[[#This Row],[Shots]]&gt;0,Performance_Data[[#This Row],[Shots]]*90/Performance_Data[[#This Row],[Minutes_Played]],0)</f>
        <v>7.2972972972972974</v>
      </c>
      <c r="T28" s="6">
        <f>IF(Performance_Data[[#This Row],[Successful_Dribbles]]&gt;0,Performance_Data[[#This Row],[Successful_Dribbles]]*90/Performance_Data[[#This Row],[Minutes_Played]],0)</f>
        <v>9.7297297297297298</v>
      </c>
      <c r="U28" s="5">
        <f>IF(Performance_Data[[#This Row],[Duels_Won]]&gt;0,Performance_Data[[#This Row],[Duels_Won]]*90/Performance_Data[[#This Row],[Minutes_Played]],0)</f>
        <v>19.45945945945946</v>
      </c>
      <c r="V28" s="5">
        <f t="shared" si="1"/>
        <v>1.1822752985543683</v>
      </c>
      <c r="W28" s="5">
        <f t="shared" si="2"/>
        <v>0.48648648648648651</v>
      </c>
      <c r="X28" s="5">
        <f t="shared" si="3"/>
        <v>4.7574324324324326</v>
      </c>
      <c r="Y28" s="5">
        <f t="shared" si="4"/>
        <v>4.5225235700817104</v>
      </c>
      <c r="Z28" s="5">
        <f t="shared" si="5"/>
        <v>7.620094280326839</v>
      </c>
      <c r="AA28" s="5">
        <f t="shared" si="6"/>
        <v>7.8111062225015715</v>
      </c>
    </row>
    <row r="29" spans="1:27" x14ac:dyDescent="0.3">
      <c r="A29" s="3" t="s">
        <v>72</v>
      </c>
      <c r="B29" s="9" t="s">
        <v>18</v>
      </c>
      <c r="C29" s="3" t="s">
        <v>19</v>
      </c>
      <c r="D29">
        <v>20</v>
      </c>
      <c r="E29" s="3" t="s">
        <v>20</v>
      </c>
      <c r="F29" s="8">
        <v>45685</v>
      </c>
      <c r="G29">
        <v>37</v>
      </c>
      <c r="H29">
        <v>1</v>
      </c>
      <c r="I29">
        <v>1</v>
      </c>
      <c r="J29">
        <v>6</v>
      </c>
      <c r="K29">
        <v>4</v>
      </c>
      <c r="L29">
        <v>6</v>
      </c>
      <c r="M29">
        <v>8</v>
      </c>
      <c r="N29">
        <v>77</v>
      </c>
      <c r="O29">
        <v>11.3</v>
      </c>
      <c r="P29" s="5">
        <f t="shared" si="0"/>
        <v>2.4324324324324325</v>
      </c>
      <c r="Q29" s="5">
        <f>IF(Performance_Data[[#This Row],[Minutes_Played]]&gt;0,Performance_Data[[#This Row],[Assists]]*90/Performance_Data[[#This Row],[Minutes_Played]], 0)</f>
        <v>2.4324324324324325</v>
      </c>
      <c r="R29" s="5">
        <f>IF(Performance_Data[[#This Row],[Key_Passes]]&gt;0,Performance_Data[[#This Row],[Key_Passes]]*90/Performance_Data[[#This Row],[Minutes_Played]],0)</f>
        <v>14.594594594594595</v>
      </c>
      <c r="S29" s="5">
        <f>IF(Performance_Data[[#This Row],[Shots]]&gt;0,Performance_Data[[#This Row],[Shots]]*90/Performance_Data[[#This Row],[Minutes_Played]],0)</f>
        <v>9.7297297297297298</v>
      </c>
      <c r="T29" s="6">
        <f>IF(Performance_Data[[#This Row],[Successful_Dribbles]]&gt;0,Performance_Data[[#This Row],[Successful_Dribbles]]*90/Performance_Data[[#This Row],[Minutes_Played]],0)</f>
        <v>14.594594594594595</v>
      </c>
      <c r="U29" s="5">
        <f>IF(Performance_Data[[#This Row],[Duels_Won]]&gt;0,Performance_Data[[#This Row],[Duels_Won]]*90/Performance_Data[[#This Row],[Minutes_Played]],0)</f>
        <v>19.45945945945946</v>
      </c>
      <c r="V29" s="5">
        <f t="shared" si="1"/>
        <v>1.4594594594594594</v>
      </c>
      <c r="W29" s="5">
        <f t="shared" si="2"/>
        <v>0.97297297297297303</v>
      </c>
      <c r="X29" s="5">
        <f t="shared" si="3"/>
        <v>7.6763513513513519</v>
      </c>
      <c r="Y29" s="5">
        <f t="shared" si="4"/>
        <v>6.0498648648648654</v>
      </c>
      <c r="Z29" s="5">
        <f t="shared" si="5"/>
        <v>8.8645945945945943</v>
      </c>
      <c r="AA29" s="5">
        <f t="shared" si="6"/>
        <v>10.656486486486488</v>
      </c>
    </row>
    <row r="30" spans="1:27" x14ac:dyDescent="0.3">
      <c r="A30" s="3" t="s">
        <v>73</v>
      </c>
      <c r="B30" s="9" t="s">
        <v>18</v>
      </c>
      <c r="C30" s="3" t="s">
        <v>19</v>
      </c>
      <c r="D30">
        <v>20</v>
      </c>
      <c r="E30" s="3" t="s">
        <v>20</v>
      </c>
      <c r="F30" s="8">
        <v>45686</v>
      </c>
      <c r="G30">
        <v>44</v>
      </c>
      <c r="H30">
        <v>2</v>
      </c>
      <c r="I30">
        <v>2</v>
      </c>
      <c r="J30">
        <v>6</v>
      </c>
      <c r="K30">
        <v>6</v>
      </c>
      <c r="L30">
        <v>0</v>
      </c>
      <c r="M30">
        <v>7</v>
      </c>
      <c r="N30">
        <v>72</v>
      </c>
      <c r="O30">
        <v>8.6999999999999993</v>
      </c>
      <c r="P30" s="5">
        <f t="shared" si="0"/>
        <v>4.0909090909090908</v>
      </c>
      <c r="Q30" s="5">
        <f>IF(Performance_Data[[#This Row],[Minutes_Played]]&gt;0,Performance_Data[[#This Row],[Assists]]*90/Performance_Data[[#This Row],[Minutes_Played]], 0)</f>
        <v>4.0909090909090908</v>
      </c>
      <c r="R30" s="5">
        <f>IF(Performance_Data[[#This Row],[Key_Passes]]&gt;0,Performance_Data[[#This Row],[Key_Passes]]*90/Performance_Data[[#This Row],[Minutes_Played]],0)</f>
        <v>12.272727272727273</v>
      </c>
      <c r="S30" s="5">
        <f>IF(Performance_Data[[#This Row],[Shots]]&gt;0,Performance_Data[[#This Row],[Shots]]*90/Performance_Data[[#This Row],[Minutes_Played]],0)</f>
        <v>12.272727272727273</v>
      </c>
      <c r="T30" s="6">
        <f>IF(Performance_Data[[#This Row],[Successful_Dribbles]]&gt;0,Performance_Data[[#This Row],[Successful_Dribbles]]*90/Performance_Data[[#This Row],[Minutes_Played]],0)</f>
        <v>0</v>
      </c>
      <c r="U30" s="5">
        <f>IF(Performance_Data[[#This Row],[Duels_Won]]&gt;0,Performance_Data[[#This Row],[Duels_Won]]*90/Performance_Data[[#This Row],[Minutes_Played]],0)</f>
        <v>14.318181818181818</v>
      </c>
      <c r="V30" s="5">
        <f t="shared" si="1"/>
        <v>2.2776412776412776</v>
      </c>
      <c r="W30" s="5">
        <f t="shared" si="2"/>
        <v>1.3046683046683047</v>
      </c>
      <c r="X30" s="5">
        <f t="shared" si="3"/>
        <v>8.6714373464373473</v>
      </c>
      <c r="Y30" s="5">
        <f t="shared" si="4"/>
        <v>7.0449508599508608</v>
      </c>
      <c r="Z30" s="5">
        <f t="shared" si="5"/>
        <v>8.1348648648648645</v>
      </c>
      <c r="AA30" s="5">
        <f t="shared" si="6"/>
        <v>11.817420147420147</v>
      </c>
    </row>
    <row r="31" spans="1:27" x14ac:dyDescent="0.3">
      <c r="A31" s="3" t="s">
        <v>74</v>
      </c>
      <c r="B31" s="9" t="s">
        <v>18</v>
      </c>
      <c r="C31" s="3" t="s">
        <v>19</v>
      </c>
      <c r="D31">
        <v>20</v>
      </c>
      <c r="E31" s="3" t="s">
        <v>20</v>
      </c>
      <c r="F31" s="8">
        <v>45687</v>
      </c>
      <c r="G31">
        <v>48</v>
      </c>
      <c r="H31">
        <v>2</v>
      </c>
      <c r="I31">
        <v>1</v>
      </c>
      <c r="J31">
        <v>5</v>
      </c>
      <c r="K31">
        <v>4</v>
      </c>
      <c r="L31">
        <v>1</v>
      </c>
      <c r="M31">
        <v>12</v>
      </c>
      <c r="N31">
        <v>69</v>
      </c>
      <c r="O31">
        <v>11.6</v>
      </c>
      <c r="P31" s="5">
        <f t="shared" si="0"/>
        <v>3.75</v>
      </c>
      <c r="Q31" s="5">
        <f>IF(Performance_Data[[#This Row],[Minutes_Played]]&gt;0,Performance_Data[[#This Row],[Assists]]*90/Performance_Data[[#This Row],[Minutes_Played]], 0)</f>
        <v>1.875</v>
      </c>
      <c r="R31" s="5">
        <f>IF(Performance_Data[[#This Row],[Key_Passes]]&gt;0,Performance_Data[[#This Row],[Key_Passes]]*90/Performance_Data[[#This Row],[Minutes_Played]],0)</f>
        <v>9.375</v>
      </c>
      <c r="S31" s="5">
        <f>IF(Performance_Data[[#This Row],[Shots]]&gt;0,Performance_Data[[#This Row],[Shots]]*90/Performance_Data[[#This Row],[Minutes_Played]],0)</f>
        <v>7.5</v>
      </c>
      <c r="T31" s="6">
        <f>IF(Performance_Data[[#This Row],[Successful_Dribbles]]&gt;0,Performance_Data[[#This Row],[Successful_Dribbles]]*90/Performance_Data[[#This Row],[Minutes_Played]],0)</f>
        <v>1.875</v>
      </c>
      <c r="U31" s="5">
        <f>IF(Performance_Data[[#This Row],[Duels_Won]]&gt;0,Performance_Data[[#This Row],[Duels_Won]]*90/Performance_Data[[#This Row],[Minutes_Played]],0)</f>
        <v>22.5</v>
      </c>
      <c r="V31" s="5">
        <f t="shared" si="1"/>
        <v>3.0276412776412776</v>
      </c>
      <c r="W31" s="5">
        <f t="shared" si="2"/>
        <v>1.6796683046683047</v>
      </c>
      <c r="X31" s="5">
        <f t="shared" si="3"/>
        <v>9.4214373464373473</v>
      </c>
      <c r="Y31" s="5">
        <f t="shared" si="4"/>
        <v>8.3199508599508611</v>
      </c>
      <c r="Z31" s="5">
        <f t="shared" si="5"/>
        <v>7.1598648648648648</v>
      </c>
      <c r="AA31" s="5">
        <f t="shared" si="6"/>
        <v>15.867420147420148</v>
      </c>
    </row>
    <row r="32" spans="1:27" x14ac:dyDescent="0.3">
      <c r="A32" s="3" t="s">
        <v>75</v>
      </c>
      <c r="B32" s="9" t="s">
        <v>18</v>
      </c>
      <c r="C32" s="3" t="s">
        <v>19</v>
      </c>
      <c r="D32">
        <v>20</v>
      </c>
      <c r="E32" s="3" t="s">
        <v>20</v>
      </c>
      <c r="F32" s="8">
        <v>45688</v>
      </c>
      <c r="G32">
        <v>83</v>
      </c>
      <c r="H32">
        <v>1</v>
      </c>
      <c r="I32">
        <v>2</v>
      </c>
      <c r="J32">
        <v>6</v>
      </c>
      <c r="K32">
        <v>5</v>
      </c>
      <c r="L32">
        <v>8</v>
      </c>
      <c r="M32">
        <v>2</v>
      </c>
      <c r="N32">
        <v>83</v>
      </c>
      <c r="O32">
        <v>11.7</v>
      </c>
      <c r="P32" s="5">
        <f t="shared" si="0"/>
        <v>1.0843373493975903</v>
      </c>
      <c r="Q32" s="5">
        <f>IF(Performance_Data[[#This Row],[Minutes_Played]]&gt;0,Performance_Data[[#This Row],[Assists]]*90/Performance_Data[[#This Row],[Minutes_Played]], 0)</f>
        <v>2.1686746987951806</v>
      </c>
      <c r="R32" s="5">
        <f>IF(Performance_Data[[#This Row],[Key_Passes]]&gt;0,Performance_Data[[#This Row],[Key_Passes]]*90/Performance_Data[[#This Row],[Minutes_Played]],0)</f>
        <v>6.5060240963855422</v>
      </c>
      <c r="S32" s="5">
        <f>IF(Performance_Data[[#This Row],[Shots]]&gt;0,Performance_Data[[#This Row],[Shots]]*90/Performance_Data[[#This Row],[Minutes_Played]],0)</f>
        <v>5.4216867469879517</v>
      </c>
      <c r="T32" s="6">
        <f>IF(Performance_Data[[#This Row],[Successful_Dribbles]]&gt;0,Performance_Data[[#This Row],[Successful_Dribbles]]*90/Performance_Data[[#This Row],[Minutes_Played]],0)</f>
        <v>8.6746987951807224</v>
      </c>
      <c r="U32" s="5">
        <f>IF(Performance_Data[[#This Row],[Duels_Won]]&gt;0,Performance_Data[[#This Row],[Duels_Won]]*90/Performance_Data[[#This Row],[Minutes_Played]],0)</f>
        <v>2.1686746987951806</v>
      </c>
      <c r="V32" s="5">
        <f t="shared" si="1"/>
        <v>3.2445087475207957</v>
      </c>
      <c r="W32" s="5">
        <f t="shared" si="2"/>
        <v>2.113403244427341</v>
      </c>
      <c r="X32" s="5">
        <f t="shared" si="3"/>
        <v>9.5226421657144549</v>
      </c>
      <c r="Y32" s="5">
        <f t="shared" si="4"/>
        <v>8.4442882093484499</v>
      </c>
      <c r="Z32" s="5">
        <f t="shared" si="5"/>
        <v>6.9748046239010097</v>
      </c>
      <c r="AA32" s="5">
        <f t="shared" si="6"/>
        <v>15.581155087179187</v>
      </c>
    </row>
    <row r="33" spans="1:27" x14ac:dyDescent="0.3">
      <c r="A33" s="3" t="s">
        <v>76</v>
      </c>
      <c r="B33" s="9" t="s">
        <v>18</v>
      </c>
      <c r="C33" s="3" t="s">
        <v>19</v>
      </c>
      <c r="D33">
        <v>20</v>
      </c>
      <c r="E33" s="3" t="s">
        <v>20</v>
      </c>
      <c r="F33" s="8">
        <v>45689</v>
      </c>
      <c r="G33">
        <v>43</v>
      </c>
      <c r="H33">
        <v>0</v>
      </c>
      <c r="I33">
        <v>0</v>
      </c>
      <c r="J33">
        <v>5</v>
      </c>
      <c r="K33">
        <v>2</v>
      </c>
      <c r="L33">
        <v>3</v>
      </c>
      <c r="M33">
        <v>2</v>
      </c>
      <c r="N33">
        <v>69</v>
      </c>
      <c r="O33">
        <v>11.2</v>
      </c>
      <c r="P33" s="5">
        <f t="shared" si="0"/>
        <v>0</v>
      </c>
      <c r="Q33" s="5">
        <f>IF(Performance_Data[[#This Row],[Minutes_Played]]&gt;0,Performance_Data[[#This Row],[Assists]]*90/Performance_Data[[#This Row],[Minutes_Played]], 0)</f>
        <v>0</v>
      </c>
      <c r="R33" s="5">
        <f>IF(Performance_Data[[#This Row],[Key_Passes]]&gt;0,Performance_Data[[#This Row],[Key_Passes]]*90/Performance_Data[[#This Row],[Minutes_Played]],0)</f>
        <v>10.465116279069768</v>
      </c>
      <c r="S33" s="5">
        <f>IF(Performance_Data[[#This Row],[Shots]]&gt;0,Performance_Data[[#This Row],[Shots]]*90/Performance_Data[[#This Row],[Minutes_Played]],0)</f>
        <v>4.1860465116279073</v>
      </c>
      <c r="T33" s="6">
        <f>IF(Performance_Data[[#This Row],[Successful_Dribbles]]&gt;0,Performance_Data[[#This Row],[Successful_Dribbles]]*90/Performance_Data[[#This Row],[Minutes_Played]],0)</f>
        <v>6.2790697674418601</v>
      </c>
      <c r="U33" s="5">
        <f>IF(Performance_Data[[#This Row],[Duels_Won]]&gt;0,Performance_Data[[#This Row],[Duels_Won]]*90/Performance_Data[[#This Row],[Minutes_Played]],0)</f>
        <v>4.1860465116279073</v>
      </c>
      <c r="V33" s="5">
        <f t="shared" si="1"/>
        <v>2.2715357745478224</v>
      </c>
      <c r="W33" s="5">
        <f t="shared" si="2"/>
        <v>2.113403244427341</v>
      </c>
      <c r="X33" s="5">
        <f t="shared" si="3"/>
        <v>10.642692448555437</v>
      </c>
      <c r="Y33" s="5">
        <f t="shared" si="4"/>
        <v>7.8220380522145714</v>
      </c>
      <c r="Z33" s="5">
        <f t="shared" si="5"/>
        <v>6.2846726314434367</v>
      </c>
      <c r="AA33" s="5">
        <f t="shared" si="6"/>
        <v>12.526472497612874</v>
      </c>
    </row>
    <row r="34" spans="1:27" x14ac:dyDescent="0.3">
      <c r="A34" s="3" t="s">
        <v>77</v>
      </c>
      <c r="B34" s="9" t="s">
        <v>18</v>
      </c>
      <c r="C34" s="3" t="s">
        <v>19</v>
      </c>
      <c r="D34">
        <v>20</v>
      </c>
      <c r="E34" s="3" t="s">
        <v>20</v>
      </c>
      <c r="F34" s="8">
        <v>45690</v>
      </c>
      <c r="G34">
        <v>44</v>
      </c>
      <c r="H34">
        <v>1</v>
      </c>
      <c r="I34">
        <v>2</v>
      </c>
      <c r="J34">
        <v>5</v>
      </c>
      <c r="K34">
        <v>1</v>
      </c>
      <c r="L34">
        <v>0</v>
      </c>
      <c r="M34">
        <v>1</v>
      </c>
      <c r="N34">
        <v>75</v>
      </c>
      <c r="O34">
        <v>10.7</v>
      </c>
      <c r="P34" s="5">
        <f t="shared" ref="P34:P65" si="7">IF(G34&gt;0, H34*90/G34,0)</f>
        <v>2.0454545454545454</v>
      </c>
      <c r="Q34" s="5">
        <f>IF(Performance_Data[[#This Row],[Minutes_Played]]&gt;0,Performance_Data[[#This Row],[Assists]]*90/Performance_Data[[#This Row],[Minutes_Played]], 0)</f>
        <v>4.0909090909090908</v>
      </c>
      <c r="R34" s="5">
        <f>IF(Performance_Data[[#This Row],[Key_Passes]]&gt;0,Performance_Data[[#This Row],[Key_Passes]]*90/Performance_Data[[#This Row],[Minutes_Played]],0)</f>
        <v>10.227272727272727</v>
      </c>
      <c r="S34" s="5">
        <f>IF(Performance_Data[[#This Row],[Shots]]&gt;0,Performance_Data[[#This Row],[Shots]]*90/Performance_Data[[#This Row],[Minutes_Played]],0)</f>
        <v>2.0454545454545454</v>
      </c>
      <c r="T34" s="6">
        <f>IF(Performance_Data[[#This Row],[Successful_Dribbles]]&gt;0,Performance_Data[[#This Row],[Successful_Dribbles]]*90/Performance_Data[[#This Row],[Minutes_Played]],0)</f>
        <v>0</v>
      </c>
      <c r="U34" s="5">
        <f>IF(Performance_Data[[#This Row],[Duels_Won]]&gt;0,Performance_Data[[#This Row],[Duels_Won]]*90/Performance_Data[[#This Row],[Minutes_Played]],0)</f>
        <v>2.0454545454545454</v>
      </c>
      <c r="V34" s="5">
        <f t="shared" si="1"/>
        <v>2.1941401971522452</v>
      </c>
      <c r="W34" s="5">
        <f t="shared" si="2"/>
        <v>2.4450985761226725</v>
      </c>
      <c r="X34" s="5">
        <f t="shared" si="3"/>
        <v>9.7692280750910623</v>
      </c>
      <c r="Y34" s="5">
        <f t="shared" si="4"/>
        <v>6.2851830153595358</v>
      </c>
      <c r="Z34" s="5">
        <f t="shared" si="5"/>
        <v>3.3657537125245165</v>
      </c>
      <c r="AA34" s="5">
        <f t="shared" si="6"/>
        <v>9.0436715148118907</v>
      </c>
    </row>
    <row r="35" spans="1:27" x14ac:dyDescent="0.3">
      <c r="A35" s="3" t="s">
        <v>78</v>
      </c>
      <c r="B35" s="9" t="s">
        <v>18</v>
      </c>
      <c r="C35" s="3" t="s">
        <v>19</v>
      </c>
      <c r="D35">
        <v>20</v>
      </c>
      <c r="E35" s="3" t="s">
        <v>20</v>
      </c>
      <c r="F35" s="8">
        <v>45691</v>
      </c>
      <c r="G35">
        <v>57</v>
      </c>
      <c r="H35">
        <v>0</v>
      </c>
      <c r="I35">
        <v>0</v>
      </c>
      <c r="J35">
        <v>4</v>
      </c>
      <c r="K35">
        <v>5</v>
      </c>
      <c r="L35">
        <v>4</v>
      </c>
      <c r="M35">
        <v>8</v>
      </c>
      <c r="N35">
        <v>68</v>
      </c>
      <c r="O35">
        <v>10.4</v>
      </c>
      <c r="P35" s="5">
        <f t="shared" si="7"/>
        <v>0</v>
      </c>
      <c r="Q35" s="5">
        <f>IF(Performance_Data[[#This Row],[Minutes_Played]]&gt;0,Performance_Data[[#This Row],[Assists]]*90/Performance_Data[[#This Row],[Minutes_Played]], 0)</f>
        <v>0</v>
      </c>
      <c r="R35" s="5">
        <f>IF(Performance_Data[[#This Row],[Key_Passes]]&gt;0,Performance_Data[[#This Row],[Key_Passes]]*90/Performance_Data[[#This Row],[Minutes_Played]],0)</f>
        <v>6.3157894736842106</v>
      </c>
      <c r="S35" s="5">
        <f>IF(Performance_Data[[#This Row],[Shots]]&gt;0,Performance_Data[[#This Row],[Shots]]*90/Performance_Data[[#This Row],[Minutes_Played]],0)</f>
        <v>7.8947368421052628</v>
      </c>
      <c r="T35" s="6">
        <f>IF(Performance_Data[[#This Row],[Successful_Dribbles]]&gt;0,Performance_Data[[#This Row],[Successful_Dribbles]]*90/Performance_Data[[#This Row],[Minutes_Played]],0)</f>
        <v>6.3157894736842106</v>
      </c>
      <c r="U35" s="5">
        <f>IF(Performance_Data[[#This Row],[Duels_Won]]&gt;0,Performance_Data[[#This Row],[Duels_Won]]*90/Performance_Data[[#This Row],[Minutes_Played]],0)</f>
        <v>12.631578947368421</v>
      </c>
      <c r="V35" s="5">
        <f t="shared" si="1"/>
        <v>1.3759583789704273</v>
      </c>
      <c r="W35" s="5">
        <f t="shared" si="2"/>
        <v>1.6269167579408546</v>
      </c>
      <c r="X35" s="5">
        <f t="shared" si="3"/>
        <v>8.5778405152824497</v>
      </c>
      <c r="Y35" s="5">
        <f t="shared" si="4"/>
        <v>5.4095849292351339</v>
      </c>
      <c r="Z35" s="5">
        <f t="shared" si="5"/>
        <v>4.6289116072613581</v>
      </c>
      <c r="AA35" s="5">
        <f t="shared" si="6"/>
        <v>8.7063509406492106</v>
      </c>
    </row>
    <row r="36" spans="1:27" x14ac:dyDescent="0.3">
      <c r="A36" s="3" t="s">
        <v>79</v>
      </c>
      <c r="B36" s="9" t="s">
        <v>18</v>
      </c>
      <c r="C36" s="3" t="s">
        <v>19</v>
      </c>
      <c r="D36">
        <v>20</v>
      </c>
      <c r="E36" s="3" t="s">
        <v>20</v>
      </c>
      <c r="F36" s="8">
        <v>45692</v>
      </c>
      <c r="G36">
        <v>48</v>
      </c>
      <c r="H36">
        <v>1</v>
      </c>
      <c r="I36">
        <v>1</v>
      </c>
      <c r="J36">
        <v>0</v>
      </c>
      <c r="K36">
        <v>0</v>
      </c>
      <c r="L36">
        <v>5</v>
      </c>
      <c r="M36">
        <v>9</v>
      </c>
      <c r="N36">
        <v>65</v>
      </c>
      <c r="O36">
        <v>9.6</v>
      </c>
      <c r="P36" s="5">
        <f t="shared" si="7"/>
        <v>1.875</v>
      </c>
      <c r="Q36" s="5">
        <f>IF(Performance_Data[[#This Row],[Minutes_Played]]&gt;0,Performance_Data[[#This Row],[Assists]]*90/Performance_Data[[#This Row],[Minutes_Played]], 0)</f>
        <v>1.875</v>
      </c>
      <c r="R36" s="5">
        <f>IF(Performance_Data[[#This Row],[Key_Passes]]&gt;0,Performance_Data[[#This Row],[Key_Passes]]*90/Performance_Data[[#This Row],[Minutes_Played]],0)</f>
        <v>0</v>
      </c>
      <c r="S36" s="5">
        <f>IF(Performance_Data[[#This Row],[Shots]]&gt;0,Performance_Data[[#This Row],[Shots]]*90/Performance_Data[[#This Row],[Minutes_Played]],0)</f>
        <v>0</v>
      </c>
      <c r="T36" s="6">
        <f>IF(Performance_Data[[#This Row],[Successful_Dribbles]]&gt;0,Performance_Data[[#This Row],[Successful_Dribbles]]*90/Performance_Data[[#This Row],[Minutes_Played]],0)</f>
        <v>9.375</v>
      </c>
      <c r="U36" s="5">
        <f>IF(Performance_Data[[#This Row],[Duels_Won]]&gt;0,Performance_Data[[#This Row],[Duels_Won]]*90/Performance_Data[[#This Row],[Minutes_Played]],0)</f>
        <v>16.875</v>
      </c>
      <c r="V36" s="5">
        <f t="shared" si="1"/>
        <v>1.0009583789704271</v>
      </c>
      <c r="W36" s="5">
        <f t="shared" si="2"/>
        <v>1.6269167579408541</v>
      </c>
      <c r="X36" s="5">
        <f t="shared" si="3"/>
        <v>6.7028405152824488</v>
      </c>
      <c r="Y36" s="5">
        <f t="shared" si="4"/>
        <v>3.909584929235133</v>
      </c>
      <c r="Z36" s="5">
        <f t="shared" si="5"/>
        <v>6.1289116072613581</v>
      </c>
      <c r="AA36" s="5">
        <f t="shared" si="6"/>
        <v>7.5813509406492106</v>
      </c>
    </row>
    <row r="37" spans="1:27" x14ac:dyDescent="0.3">
      <c r="A37" s="3" t="s">
        <v>80</v>
      </c>
      <c r="B37" s="9" t="s">
        <v>18</v>
      </c>
      <c r="C37" s="3" t="s">
        <v>19</v>
      </c>
      <c r="D37">
        <v>20</v>
      </c>
      <c r="E37" s="3" t="s">
        <v>20</v>
      </c>
      <c r="F37" s="8">
        <v>45693</v>
      </c>
      <c r="G37">
        <v>65</v>
      </c>
      <c r="H37">
        <v>1</v>
      </c>
      <c r="I37">
        <v>2</v>
      </c>
      <c r="J37">
        <v>3</v>
      </c>
      <c r="K37">
        <v>1</v>
      </c>
      <c r="L37">
        <v>7</v>
      </c>
      <c r="M37">
        <v>6</v>
      </c>
      <c r="N37">
        <v>72</v>
      </c>
      <c r="O37">
        <v>9.4</v>
      </c>
      <c r="P37" s="5">
        <f t="shared" si="7"/>
        <v>1.3846153846153846</v>
      </c>
      <c r="Q37" s="5">
        <f>IF(Performance_Data[[#This Row],[Minutes_Played]]&gt;0,Performance_Data[[#This Row],[Assists]]*90/Performance_Data[[#This Row],[Minutes_Played]], 0)</f>
        <v>2.7692307692307692</v>
      </c>
      <c r="R37" s="5">
        <f>IF(Performance_Data[[#This Row],[Key_Passes]]&gt;0,Performance_Data[[#This Row],[Key_Passes]]*90/Performance_Data[[#This Row],[Minutes_Played]],0)</f>
        <v>4.1538461538461542</v>
      </c>
      <c r="S37" s="5">
        <f>IF(Performance_Data[[#This Row],[Shots]]&gt;0,Performance_Data[[#This Row],[Shots]]*90/Performance_Data[[#This Row],[Minutes_Played]],0)</f>
        <v>1.3846153846153846</v>
      </c>
      <c r="T37" s="6">
        <f>IF(Performance_Data[[#This Row],[Successful_Dribbles]]&gt;0,Performance_Data[[#This Row],[Successful_Dribbles]]*90/Performance_Data[[#This Row],[Minutes_Played]],0)</f>
        <v>9.6923076923076916</v>
      </c>
      <c r="U37" s="5">
        <f>IF(Performance_Data[[#This Row],[Duels_Won]]&gt;0,Performance_Data[[#This Row],[Duels_Won]]*90/Performance_Data[[#This Row],[Minutes_Played]],0)</f>
        <v>8.3076923076923084</v>
      </c>
      <c r="V37" s="5">
        <f t="shared" si="1"/>
        <v>1.061013986013986</v>
      </c>
      <c r="W37" s="5">
        <f t="shared" si="2"/>
        <v>1.747027972027972</v>
      </c>
      <c r="X37" s="5">
        <f t="shared" si="3"/>
        <v>6.2324049267745725</v>
      </c>
      <c r="Y37" s="5">
        <f t="shared" si="4"/>
        <v>3.1021706567606198</v>
      </c>
      <c r="Z37" s="5">
        <f t="shared" si="5"/>
        <v>6.3324333866867519</v>
      </c>
      <c r="AA37" s="5">
        <f t="shared" si="6"/>
        <v>8.8091544624286353</v>
      </c>
    </row>
    <row r="38" spans="1:27" x14ac:dyDescent="0.3">
      <c r="A38" s="3" t="s">
        <v>81</v>
      </c>
      <c r="B38" s="9" t="s">
        <v>18</v>
      </c>
      <c r="C38" s="3" t="s">
        <v>19</v>
      </c>
      <c r="D38">
        <v>20</v>
      </c>
      <c r="E38" s="3" t="s">
        <v>20</v>
      </c>
      <c r="F38" s="8">
        <v>45694</v>
      </c>
      <c r="G38">
        <v>43</v>
      </c>
      <c r="H38">
        <v>1</v>
      </c>
      <c r="I38">
        <v>0</v>
      </c>
      <c r="J38">
        <v>3</v>
      </c>
      <c r="K38">
        <v>3</v>
      </c>
      <c r="L38">
        <v>0</v>
      </c>
      <c r="M38">
        <v>5</v>
      </c>
      <c r="N38">
        <v>69</v>
      </c>
      <c r="O38">
        <v>10.9</v>
      </c>
      <c r="P38" s="5">
        <f t="shared" si="7"/>
        <v>2.0930232558139537</v>
      </c>
      <c r="Q38" s="5">
        <f>IF(Performance_Data[[#This Row],[Minutes_Played]]&gt;0,Performance_Data[[#This Row],[Assists]]*90/Performance_Data[[#This Row],[Minutes_Played]], 0)</f>
        <v>0</v>
      </c>
      <c r="R38" s="5">
        <f>IF(Performance_Data[[#This Row],[Key_Passes]]&gt;0,Performance_Data[[#This Row],[Key_Passes]]*90/Performance_Data[[#This Row],[Minutes_Played]],0)</f>
        <v>6.2790697674418601</v>
      </c>
      <c r="S38" s="5">
        <f>IF(Performance_Data[[#This Row],[Shots]]&gt;0,Performance_Data[[#This Row],[Shots]]*90/Performance_Data[[#This Row],[Minutes_Played]],0)</f>
        <v>6.2790697674418601</v>
      </c>
      <c r="T38" s="6">
        <f>IF(Performance_Data[[#This Row],[Successful_Dribbles]]&gt;0,Performance_Data[[#This Row],[Successful_Dribbles]]*90/Performance_Data[[#This Row],[Minutes_Played]],0)</f>
        <v>0</v>
      </c>
      <c r="U38" s="5">
        <f>IF(Performance_Data[[#This Row],[Duels_Won]]&gt;0,Performance_Data[[#This Row],[Duels_Won]]*90/Performance_Data[[#This Row],[Minutes_Played]],0)</f>
        <v>10.465116279069768</v>
      </c>
      <c r="V38" s="5">
        <f t="shared" ref="V38:V69" si="8">IF(COUNTIF(B34:B38,B38)=5, AVERAGE(P34:P38), "")</f>
        <v>1.4796186371767768</v>
      </c>
      <c r="W38" s="5">
        <f t="shared" ref="W38:W69" si="9">IF(COUNTIF(B34:B38,B38)=5, AVERAGE(Q34:Q38), "")</f>
        <v>1.747027972027972</v>
      </c>
      <c r="X38" s="5">
        <f t="shared" ref="X38:X69" si="10">IF(COUNTIF(B34:B38,B38)=5, AVERAGE(R34:R38), "")</f>
        <v>5.3951956244489905</v>
      </c>
      <c r="Y38" s="5">
        <f t="shared" ref="Y38:Y69" si="11">IF(COUNTIF(B34:B38,B38)=5, AVERAGE(S34:S38), "")</f>
        <v>3.5207753079234108</v>
      </c>
      <c r="Z38" s="5">
        <f t="shared" ref="Z38:Z69" si="12">IF(COUNTIF(B34:B38,B38)=5,AVERAGE(T34:T38),"")</f>
        <v>5.0766194331983803</v>
      </c>
      <c r="AA38" s="5">
        <f t="shared" ref="AA38:AA69" si="13">IF(COUNTIF(B34:B38,B38)=5,AVERAGE(U34:U38),"")</f>
        <v>10.064968415917008</v>
      </c>
    </row>
    <row r="39" spans="1:27" x14ac:dyDescent="0.3">
      <c r="A39" s="3" t="s">
        <v>82</v>
      </c>
      <c r="B39" s="9" t="s">
        <v>18</v>
      </c>
      <c r="C39" s="3" t="s">
        <v>19</v>
      </c>
      <c r="D39">
        <v>20</v>
      </c>
      <c r="E39" s="3" t="s">
        <v>20</v>
      </c>
      <c r="F39" s="8">
        <v>45695</v>
      </c>
      <c r="G39">
        <v>48</v>
      </c>
      <c r="H39">
        <v>0</v>
      </c>
      <c r="I39">
        <v>2</v>
      </c>
      <c r="J39">
        <v>4</v>
      </c>
      <c r="K39">
        <v>2</v>
      </c>
      <c r="L39">
        <v>6</v>
      </c>
      <c r="M39">
        <v>0</v>
      </c>
      <c r="N39">
        <v>85</v>
      </c>
      <c r="O39">
        <v>8.9</v>
      </c>
      <c r="P39" s="5">
        <f t="shared" si="7"/>
        <v>0</v>
      </c>
      <c r="Q39" s="5">
        <f>IF(Performance_Data[[#This Row],[Minutes_Played]]&gt;0,Performance_Data[[#This Row],[Assists]]*90/Performance_Data[[#This Row],[Minutes_Played]], 0)</f>
        <v>3.75</v>
      </c>
      <c r="R39" s="5">
        <f>IF(Performance_Data[[#This Row],[Key_Passes]]&gt;0,Performance_Data[[#This Row],[Key_Passes]]*90/Performance_Data[[#This Row],[Minutes_Played]],0)</f>
        <v>7.5</v>
      </c>
      <c r="S39" s="5">
        <f>IF(Performance_Data[[#This Row],[Shots]]&gt;0,Performance_Data[[#This Row],[Shots]]*90/Performance_Data[[#This Row],[Minutes_Played]],0)</f>
        <v>3.75</v>
      </c>
      <c r="T39" s="6">
        <f>IF(Performance_Data[[#This Row],[Successful_Dribbles]]&gt;0,Performance_Data[[#This Row],[Successful_Dribbles]]*90/Performance_Data[[#This Row],[Minutes_Played]],0)</f>
        <v>11.25</v>
      </c>
      <c r="U39" s="5">
        <f>IF(Performance_Data[[#This Row],[Duels_Won]]&gt;0,Performance_Data[[#This Row],[Duels_Won]]*90/Performance_Data[[#This Row],[Minutes_Played]],0)</f>
        <v>0</v>
      </c>
      <c r="V39" s="5">
        <f t="shared" si="8"/>
        <v>1.0705277280858678</v>
      </c>
      <c r="W39" s="5">
        <f t="shared" si="9"/>
        <v>1.6788461538461541</v>
      </c>
      <c r="X39" s="5">
        <f t="shared" si="10"/>
        <v>4.8497410789944455</v>
      </c>
      <c r="Y39" s="5">
        <f t="shared" si="11"/>
        <v>3.8616843988325016</v>
      </c>
      <c r="Z39" s="5">
        <f t="shared" si="12"/>
        <v>7.3266194331983794</v>
      </c>
      <c r="AA39" s="5">
        <f t="shared" si="13"/>
        <v>9.6558775068260996</v>
      </c>
    </row>
    <row r="40" spans="1:27" x14ac:dyDescent="0.3">
      <c r="A40" s="3" t="s">
        <v>83</v>
      </c>
      <c r="B40" s="9" t="s">
        <v>18</v>
      </c>
      <c r="C40" s="3" t="s">
        <v>19</v>
      </c>
      <c r="D40">
        <v>20</v>
      </c>
      <c r="E40" s="3" t="s">
        <v>20</v>
      </c>
      <c r="F40" s="8">
        <v>45696</v>
      </c>
      <c r="G40">
        <v>90</v>
      </c>
      <c r="H40">
        <v>2</v>
      </c>
      <c r="I40">
        <v>0</v>
      </c>
      <c r="J40">
        <v>3</v>
      </c>
      <c r="K40">
        <v>3</v>
      </c>
      <c r="L40">
        <v>1</v>
      </c>
      <c r="M40">
        <v>3</v>
      </c>
      <c r="N40">
        <v>69</v>
      </c>
      <c r="O40">
        <v>11.6</v>
      </c>
      <c r="P40" s="5">
        <f t="shared" si="7"/>
        <v>2</v>
      </c>
      <c r="Q40" s="5">
        <f>IF(Performance_Data[[#This Row],[Minutes_Played]]&gt;0,Performance_Data[[#This Row],[Assists]]*90/Performance_Data[[#This Row],[Minutes_Played]], 0)</f>
        <v>0</v>
      </c>
      <c r="R40" s="5">
        <f>IF(Performance_Data[[#This Row],[Key_Passes]]&gt;0,Performance_Data[[#This Row],[Key_Passes]]*90/Performance_Data[[#This Row],[Minutes_Played]],0)</f>
        <v>3</v>
      </c>
      <c r="S40" s="5">
        <f>IF(Performance_Data[[#This Row],[Shots]]&gt;0,Performance_Data[[#This Row],[Shots]]*90/Performance_Data[[#This Row],[Minutes_Played]],0)</f>
        <v>3</v>
      </c>
      <c r="T40" s="6">
        <f>IF(Performance_Data[[#This Row],[Successful_Dribbles]]&gt;0,Performance_Data[[#This Row],[Successful_Dribbles]]*90/Performance_Data[[#This Row],[Minutes_Played]],0)</f>
        <v>1</v>
      </c>
      <c r="U40" s="5">
        <f>IF(Performance_Data[[#This Row],[Duels_Won]]&gt;0,Performance_Data[[#This Row],[Duels_Won]]*90/Performance_Data[[#This Row],[Minutes_Played]],0)</f>
        <v>3</v>
      </c>
      <c r="V40" s="5">
        <f t="shared" si="8"/>
        <v>1.4705277280858677</v>
      </c>
      <c r="W40" s="5">
        <f t="shared" si="9"/>
        <v>1.6788461538461541</v>
      </c>
      <c r="X40" s="5">
        <f t="shared" si="10"/>
        <v>4.1865831842576027</v>
      </c>
      <c r="Y40" s="5">
        <f t="shared" si="11"/>
        <v>2.882737030411449</v>
      </c>
      <c r="Z40" s="5">
        <f t="shared" si="12"/>
        <v>6.2634615384615389</v>
      </c>
      <c r="AA40" s="5">
        <f t="shared" si="13"/>
        <v>7.7295617173524152</v>
      </c>
    </row>
    <row r="41" spans="1:27" x14ac:dyDescent="0.3">
      <c r="A41" s="3" t="s">
        <v>84</v>
      </c>
      <c r="B41" s="9" t="s">
        <v>18</v>
      </c>
      <c r="C41" s="3" t="s">
        <v>19</v>
      </c>
      <c r="D41">
        <v>20</v>
      </c>
      <c r="E41" s="3" t="s">
        <v>20</v>
      </c>
      <c r="F41" s="8">
        <v>45697</v>
      </c>
      <c r="G41">
        <v>42</v>
      </c>
      <c r="H41">
        <v>0</v>
      </c>
      <c r="I41">
        <v>2</v>
      </c>
      <c r="J41">
        <v>0</v>
      </c>
      <c r="K41">
        <v>4</v>
      </c>
      <c r="L41">
        <v>7</v>
      </c>
      <c r="M41">
        <v>4</v>
      </c>
      <c r="N41">
        <v>89</v>
      </c>
      <c r="O41">
        <v>10.8</v>
      </c>
      <c r="P41" s="5">
        <f t="shared" si="7"/>
        <v>0</v>
      </c>
      <c r="Q41" s="5">
        <f>IF(Performance_Data[[#This Row],[Minutes_Played]]&gt;0,Performance_Data[[#This Row],[Assists]]*90/Performance_Data[[#This Row],[Minutes_Played]], 0)</f>
        <v>4.2857142857142856</v>
      </c>
      <c r="R41" s="5">
        <f>IF(Performance_Data[[#This Row],[Key_Passes]]&gt;0,Performance_Data[[#This Row],[Key_Passes]]*90/Performance_Data[[#This Row],[Minutes_Played]],0)</f>
        <v>0</v>
      </c>
      <c r="S41" s="5">
        <f>IF(Performance_Data[[#This Row],[Shots]]&gt;0,Performance_Data[[#This Row],[Shots]]*90/Performance_Data[[#This Row],[Minutes_Played]],0)</f>
        <v>8.5714285714285712</v>
      </c>
      <c r="T41" s="6">
        <f>IF(Performance_Data[[#This Row],[Successful_Dribbles]]&gt;0,Performance_Data[[#This Row],[Successful_Dribbles]]*90/Performance_Data[[#This Row],[Minutes_Played]],0)</f>
        <v>15</v>
      </c>
      <c r="U41" s="5">
        <f>IF(Performance_Data[[#This Row],[Duels_Won]]&gt;0,Performance_Data[[#This Row],[Duels_Won]]*90/Performance_Data[[#This Row],[Minutes_Played]],0)</f>
        <v>8.5714285714285712</v>
      </c>
      <c r="V41" s="5">
        <f t="shared" si="8"/>
        <v>1.0955277280858677</v>
      </c>
      <c r="W41" s="5">
        <f t="shared" si="9"/>
        <v>2.1609890109890109</v>
      </c>
      <c r="X41" s="5">
        <f t="shared" si="10"/>
        <v>4.1865831842576027</v>
      </c>
      <c r="Y41" s="5">
        <f t="shared" si="11"/>
        <v>4.5970227446971634</v>
      </c>
      <c r="Z41" s="5">
        <f t="shared" si="12"/>
        <v>7.3884615384615389</v>
      </c>
      <c r="AA41" s="5">
        <f t="shared" si="13"/>
        <v>6.0688474316381287</v>
      </c>
    </row>
    <row r="42" spans="1:27" x14ac:dyDescent="0.3">
      <c r="A42" s="3" t="s">
        <v>85</v>
      </c>
      <c r="B42" s="9" t="s">
        <v>21</v>
      </c>
      <c r="C42" s="3" t="s">
        <v>22</v>
      </c>
      <c r="D42">
        <v>21</v>
      </c>
      <c r="E42" s="3" t="s">
        <v>23</v>
      </c>
      <c r="F42" s="8">
        <v>45698</v>
      </c>
      <c r="G42">
        <v>36</v>
      </c>
      <c r="H42">
        <v>1</v>
      </c>
      <c r="I42">
        <v>1</v>
      </c>
      <c r="J42">
        <v>1</v>
      </c>
      <c r="K42">
        <v>2</v>
      </c>
      <c r="L42">
        <v>3</v>
      </c>
      <c r="M42">
        <v>12</v>
      </c>
      <c r="N42">
        <v>82</v>
      </c>
      <c r="O42">
        <v>8.3000000000000007</v>
      </c>
      <c r="P42" s="5">
        <f t="shared" si="7"/>
        <v>2.5</v>
      </c>
      <c r="Q42" s="5">
        <f>IF(Performance_Data[[#This Row],[Minutes_Played]]&gt;0,Performance_Data[[#This Row],[Assists]]*90/Performance_Data[[#This Row],[Minutes_Played]], 0)</f>
        <v>2.5</v>
      </c>
      <c r="R42" s="5">
        <f>IF(Performance_Data[[#This Row],[Key_Passes]]&gt;0,Performance_Data[[#This Row],[Key_Passes]]*90/Performance_Data[[#This Row],[Minutes_Played]],0)</f>
        <v>2.5</v>
      </c>
      <c r="S42" s="5">
        <f>IF(Performance_Data[[#This Row],[Shots]]&gt;0,Performance_Data[[#This Row],[Shots]]*90/Performance_Data[[#This Row],[Minutes_Played]],0)</f>
        <v>5</v>
      </c>
      <c r="T42" s="6">
        <f>IF(Performance_Data[[#This Row],[Successful_Dribbles]]&gt;0,Performance_Data[[#This Row],[Successful_Dribbles]]*90/Performance_Data[[#This Row],[Minutes_Played]],0)</f>
        <v>7.5</v>
      </c>
      <c r="U42" s="5">
        <f>IF(Performance_Data[[#This Row],[Duels_Won]]&gt;0,Performance_Data[[#This Row],[Duels_Won]]*90/Performance_Data[[#This Row],[Minutes_Played]],0)</f>
        <v>30</v>
      </c>
      <c r="V42" s="5" t="str">
        <f t="shared" si="8"/>
        <v/>
      </c>
      <c r="W42" s="5" t="str">
        <f t="shared" si="9"/>
        <v/>
      </c>
      <c r="X42" s="5" t="str">
        <f t="shared" si="10"/>
        <v/>
      </c>
      <c r="Y42" s="5" t="str">
        <f t="shared" si="11"/>
        <v/>
      </c>
      <c r="Z42" s="5" t="str">
        <f t="shared" si="12"/>
        <v/>
      </c>
      <c r="AA42" s="5" t="str">
        <f t="shared" si="13"/>
        <v/>
      </c>
    </row>
    <row r="43" spans="1:27" x14ac:dyDescent="0.3">
      <c r="A43" s="3" t="s">
        <v>86</v>
      </c>
      <c r="B43" s="9" t="s">
        <v>21</v>
      </c>
      <c r="C43" s="3" t="s">
        <v>22</v>
      </c>
      <c r="D43">
        <v>21</v>
      </c>
      <c r="E43" s="3" t="s">
        <v>23</v>
      </c>
      <c r="F43" s="8">
        <v>45699</v>
      </c>
      <c r="G43">
        <v>35</v>
      </c>
      <c r="H43">
        <v>0</v>
      </c>
      <c r="I43">
        <v>2</v>
      </c>
      <c r="J43">
        <v>6</v>
      </c>
      <c r="K43">
        <v>1</v>
      </c>
      <c r="L43">
        <v>7</v>
      </c>
      <c r="M43">
        <v>2</v>
      </c>
      <c r="N43">
        <v>73</v>
      </c>
      <c r="O43">
        <v>9.1</v>
      </c>
      <c r="P43" s="5">
        <f t="shared" si="7"/>
        <v>0</v>
      </c>
      <c r="Q43" s="5">
        <f>IF(Performance_Data[[#This Row],[Minutes_Played]]&gt;0,Performance_Data[[#This Row],[Assists]]*90/Performance_Data[[#This Row],[Minutes_Played]], 0)</f>
        <v>5.1428571428571432</v>
      </c>
      <c r="R43" s="5">
        <f>IF(Performance_Data[[#This Row],[Key_Passes]]&gt;0,Performance_Data[[#This Row],[Key_Passes]]*90/Performance_Data[[#This Row],[Minutes_Played]],0)</f>
        <v>15.428571428571429</v>
      </c>
      <c r="S43" s="5">
        <f>IF(Performance_Data[[#This Row],[Shots]]&gt;0,Performance_Data[[#This Row],[Shots]]*90/Performance_Data[[#This Row],[Minutes_Played]],0)</f>
        <v>2.5714285714285716</v>
      </c>
      <c r="T43" s="6">
        <f>IF(Performance_Data[[#This Row],[Successful_Dribbles]]&gt;0,Performance_Data[[#This Row],[Successful_Dribbles]]*90/Performance_Data[[#This Row],[Minutes_Played]],0)</f>
        <v>18</v>
      </c>
      <c r="U43" s="5">
        <f>IF(Performance_Data[[#This Row],[Duels_Won]]&gt;0,Performance_Data[[#This Row],[Duels_Won]]*90/Performance_Data[[#This Row],[Minutes_Played]],0)</f>
        <v>5.1428571428571432</v>
      </c>
      <c r="V43" s="5" t="str">
        <f t="shared" si="8"/>
        <v/>
      </c>
      <c r="W43" s="5" t="str">
        <f t="shared" si="9"/>
        <v/>
      </c>
      <c r="X43" s="5" t="str">
        <f t="shared" si="10"/>
        <v/>
      </c>
      <c r="Y43" s="5" t="str">
        <f t="shared" si="11"/>
        <v/>
      </c>
      <c r="Z43" s="5" t="str">
        <f t="shared" si="12"/>
        <v/>
      </c>
      <c r="AA43" s="5" t="str">
        <f t="shared" si="13"/>
        <v/>
      </c>
    </row>
    <row r="44" spans="1:27" x14ac:dyDescent="0.3">
      <c r="A44" s="3" t="s">
        <v>87</v>
      </c>
      <c r="B44" s="9" t="s">
        <v>21</v>
      </c>
      <c r="C44" s="3" t="s">
        <v>22</v>
      </c>
      <c r="D44">
        <v>21</v>
      </c>
      <c r="E44" s="3" t="s">
        <v>23</v>
      </c>
      <c r="F44" s="8">
        <v>45700</v>
      </c>
      <c r="G44">
        <v>78</v>
      </c>
      <c r="H44">
        <v>2</v>
      </c>
      <c r="I44">
        <v>1</v>
      </c>
      <c r="J44">
        <v>6</v>
      </c>
      <c r="K44">
        <v>4</v>
      </c>
      <c r="L44">
        <v>3</v>
      </c>
      <c r="M44">
        <v>9</v>
      </c>
      <c r="N44">
        <v>73</v>
      </c>
      <c r="O44">
        <v>10.9</v>
      </c>
      <c r="P44" s="5">
        <f t="shared" si="7"/>
        <v>2.3076923076923075</v>
      </c>
      <c r="Q44" s="5">
        <f>IF(Performance_Data[[#This Row],[Minutes_Played]]&gt;0,Performance_Data[[#This Row],[Assists]]*90/Performance_Data[[#This Row],[Minutes_Played]], 0)</f>
        <v>1.1538461538461537</v>
      </c>
      <c r="R44" s="5">
        <f>IF(Performance_Data[[#This Row],[Key_Passes]]&gt;0,Performance_Data[[#This Row],[Key_Passes]]*90/Performance_Data[[#This Row],[Minutes_Played]],0)</f>
        <v>6.9230769230769234</v>
      </c>
      <c r="S44" s="5">
        <f>IF(Performance_Data[[#This Row],[Shots]]&gt;0,Performance_Data[[#This Row],[Shots]]*90/Performance_Data[[#This Row],[Minutes_Played]],0)</f>
        <v>4.615384615384615</v>
      </c>
      <c r="T44" s="6">
        <f>IF(Performance_Data[[#This Row],[Successful_Dribbles]]&gt;0,Performance_Data[[#This Row],[Successful_Dribbles]]*90/Performance_Data[[#This Row],[Minutes_Played]],0)</f>
        <v>3.4615384615384617</v>
      </c>
      <c r="U44" s="5">
        <f>IF(Performance_Data[[#This Row],[Duels_Won]]&gt;0,Performance_Data[[#This Row],[Duels_Won]]*90/Performance_Data[[#This Row],[Minutes_Played]],0)</f>
        <v>10.384615384615385</v>
      </c>
      <c r="V44" s="5" t="str">
        <f t="shared" si="8"/>
        <v/>
      </c>
      <c r="W44" s="5" t="str">
        <f t="shared" si="9"/>
        <v/>
      </c>
      <c r="X44" s="5" t="str">
        <f t="shared" si="10"/>
        <v/>
      </c>
      <c r="Y44" s="5" t="str">
        <f t="shared" si="11"/>
        <v/>
      </c>
      <c r="Z44" s="5" t="str">
        <f t="shared" si="12"/>
        <v/>
      </c>
      <c r="AA44" s="5" t="str">
        <f t="shared" si="13"/>
        <v/>
      </c>
    </row>
    <row r="45" spans="1:27" x14ac:dyDescent="0.3">
      <c r="A45" s="3" t="s">
        <v>88</v>
      </c>
      <c r="B45" s="9" t="s">
        <v>21</v>
      </c>
      <c r="C45" s="3" t="s">
        <v>22</v>
      </c>
      <c r="D45">
        <v>21</v>
      </c>
      <c r="E45" s="3" t="s">
        <v>23</v>
      </c>
      <c r="F45" s="8">
        <v>45701</v>
      </c>
      <c r="G45">
        <v>69</v>
      </c>
      <c r="H45">
        <v>1</v>
      </c>
      <c r="I45">
        <v>2</v>
      </c>
      <c r="J45">
        <v>2</v>
      </c>
      <c r="K45">
        <v>1</v>
      </c>
      <c r="L45">
        <v>5</v>
      </c>
      <c r="M45">
        <v>9</v>
      </c>
      <c r="N45">
        <v>81</v>
      </c>
      <c r="O45">
        <v>11.3</v>
      </c>
      <c r="P45" s="5">
        <f t="shared" si="7"/>
        <v>1.3043478260869565</v>
      </c>
      <c r="Q45" s="5">
        <f>IF(Performance_Data[[#This Row],[Minutes_Played]]&gt;0,Performance_Data[[#This Row],[Assists]]*90/Performance_Data[[#This Row],[Minutes_Played]], 0)</f>
        <v>2.6086956521739131</v>
      </c>
      <c r="R45" s="5">
        <f>IF(Performance_Data[[#This Row],[Key_Passes]]&gt;0,Performance_Data[[#This Row],[Key_Passes]]*90/Performance_Data[[#This Row],[Minutes_Played]],0)</f>
        <v>2.6086956521739131</v>
      </c>
      <c r="S45" s="5">
        <f>IF(Performance_Data[[#This Row],[Shots]]&gt;0,Performance_Data[[#This Row],[Shots]]*90/Performance_Data[[#This Row],[Minutes_Played]],0)</f>
        <v>1.3043478260869565</v>
      </c>
      <c r="T45" s="6">
        <f>IF(Performance_Data[[#This Row],[Successful_Dribbles]]&gt;0,Performance_Data[[#This Row],[Successful_Dribbles]]*90/Performance_Data[[#This Row],[Minutes_Played]],0)</f>
        <v>6.5217391304347823</v>
      </c>
      <c r="U45" s="5">
        <f>IF(Performance_Data[[#This Row],[Duels_Won]]&gt;0,Performance_Data[[#This Row],[Duels_Won]]*90/Performance_Data[[#This Row],[Minutes_Played]],0)</f>
        <v>11.739130434782609</v>
      </c>
      <c r="V45" s="5" t="str">
        <f t="shared" si="8"/>
        <v/>
      </c>
      <c r="W45" s="5" t="str">
        <f t="shared" si="9"/>
        <v/>
      </c>
      <c r="X45" s="5" t="str">
        <f t="shared" si="10"/>
        <v/>
      </c>
      <c r="Y45" s="5" t="str">
        <f t="shared" si="11"/>
        <v/>
      </c>
      <c r="Z45" s="5" t="str">
        <f t="shared" si="12"/>
        <v/>
      </c>
      <c r="AA45" s="5" t="str">
        <f t="shared" si="13"/>
        <v/>
      </c>
    </row>
    <row r="46" spans="1:27" x14ac:dyDescent="0.3">
      <c r="A46" s="3" t="s">
        <v>89</v>
      </c>
      <c r="B46" s="9" t="s">
        <v>21</v>
      </c>
      <c r="C46" s="3" t="s">
        <v>22</v>
      </c>
      <c r="D46">
        <v>21</v>
      </c>
      <c r="E46" s="3" t="s">
        <v>23</v>
      </c>
      <c r="F46" s="8">
        <v>45702</v>
      </c>
      <c r="G46">
        <v>39</v>
      </c>
      <c r="H46">
        <v>0</v>
      </c>
      <c r="I46">
        <v>0</v>
      </c>
      <c r="J46">
        <v>0</v>
      </c>
      <c r="K46">
        <v>5</v>
      </c>
      <c r="L46">
        <v>8</v>
      </c>
      <c r="M46">
        <v>2</v>
      </c>
      <c r="N46">
        <v>92</v>
      </c>
      <c r="O46">
        <v>8.4</v>
      </c>
      <c r="P46" s="5">
        <f t="shared" si="7"/>
        <v>0</v>
      </c>
      <c r="Q46" s="5">
        <f>IF(Performance_Data[[#This Row],[Minutes_Played]]&gt;0,Performance_Data[[#This Row],[Assists]]*90/Performance_Data[[#This Row],[Minutes_Played]], 0)</f>
        <v>0</v>
      </c>
      <c r="R46" s="5">
        <f>IF(Performance_Data[[#This Row],[Key_Passes]]&gt;0,Performance_Data[[#This Row],[Key_Passes]]*90/Performance_Data[[#This Row],[Minutes_Played]],0)</f>
        <v>0</v>
      </c>
      <c r="S46" s="5">
        <f>IF(Performance_Data[[#This Row],[Shots]]&gt;0,Performance_Data[[#This Row],[Shots]]*90/Performance_Data[[#This Row],[Minutes_Played]],0)</f>
        <v>11.538461538461538</v>
      </c>
      <c r="T46" s="6">
        <f>IF(Performance_Data[[#This Row],[Successful_Dribbles]]&gt;0,Performance_Data[[#This Row],[Successful_Dribbles]]*90/Performance_Data[[#This Row],[Minutes_Played]],0)</f>
        <v>18.46153846153846</v>
      </c>
      <c r="U46" s="5">
        <f>IF(Performance_Data[[#This Row],[Duels_Won]]&gt;0,Performance_Data[[#This Row],[Duels_Won]]*90/Performance_Data[[#This Row],[Minutes_Played]],0)</f>
        <v>4.615384615384615</v>
      </c>
      <c r="V46" s="5">
        <f t="shared" si="8"/>
        <v>1.2224080267558528</v>
      </c>
      <c r="W46" s="5">
        <f t="shared" si="9"/>
        <v>2.281079789775442</v>
      </c>
      <c r="X46" s="5">
        <f t="shared" si="10"/>
        <v>5.4920688007644536</v>
      </c>
      <c r="Y46" s="5">
        <f t="shared" si="11"/>
        <v>5.0059245102723366</v>
      </c>
      <c r="Z46" s="5">
        <f t="shared" si="12"/>
        <v>10.78896321070234</v>
      </c>
      <c r="AA46" s="5">
        <f t="shared" si="13"/>
        <v>12.376397515527952</v>
      </c>
    </row>
    <row r="47" spans="1:27" x14ac:dyDescent="0.3">
      <c r="A47" s="3" t="s">
        <v>90</v>
      </c>
      <c r="B47" s="9" t="s">
        <v>21</v>
      </c>
      <c r="C47" s="3" t="s">
        <v>22</v>
      </c>
      <c r="D47">
        <v>21</v>
      </c>
      <c r="E47" s="3" t="s">
        <v>23</v>
      </c>
      <c r="F47" s="8">
        <v>45703</v>
      </c>
      <c r="G47">
        <v>47</v>
      </c>
      <c r="H47">
        <v>1</v>
      </c>
      <c r="I47">
        <v>0</v>
      </c>
      <c r="J47">
        <v>2</v>
      </c>
      <c r="K47">
        <v>2</v>
      </c>
      <c r="L47">
        <v>8</v>
      </c>
      <c r="M47">
        <v>7</v>
      </c>
      <c r="N47">
        <v>83</v>
      </c>
      <c r="O47">
        <v>9.9</v>
      </c>
      <c r="P47" s="5">
        <f t="shared" si="7"/>
        <v>1.9148936170212767</v>
      </c>
      <c r="Q47" s="5">
        <f>IF(Performance_Data[[#This Row],[Minutes_Played]]&gt;0,Performance_Data[[#This Row],[Assists]]*90/Performance_Data[[#This Row],[Minutes_Played]], 0)</f>
        <v>0</v>
      </c>
      <c r="R47" s="5">
        <f>IF(Performance_Data[[#This Row],[Key_Passes]]&gt;0,Performance_Data[[#This Row],[Key_Passes]]*90/Performance_Data[[#This Row],[Minutes_Played]],0)</f>
        <v>3.8297872340425534</v>
      </c>
      <c r="S47" s="5">
        <f>IF(Performance_Data[[#This Row],[Shots]]&gt;0,Performance_Data[[#This Row],[Shots]]*90/Performance_Data[[#This Row],[Minutes_Played]],0)</f>
        <v>3.8297872340425534</v>
      </c>
      <c r="T47" s="6">
        <f>IF(Performance_Data[[#This Row],[Successful_Dribbles]]&gt;0,Performance_Data[[#This Row],[Successful_Dribbles]]*90/Performance_Data[[#This Row],[Minutes_Played]],0)</f>
        <v>15.319148936170214</v>
      </c>
      <c r="U47" s="5">
        <f>IF(Performance_Data[[#This Row],[Duels_Won]]&gt;0,Performance_Data[[#This Row],[Duels_Won]]*90/Performance_Data[[#This Row],[Minutes_Played]],0)</f>
        <v>13.404255319148936</v>
      </c>
      <c r="V47" s="5">
        <f t="shared" si="8"/>
        <v>1.105386750160108</v>
      </c>
      <c r="W47" s="5">
        <f t="shared" si="9"/>
        <v>1.781079789775442</v>
      </c>
      <c r="X47" s="5">
        <f t="shared" si="10"/>
        <v>5.7580262475729631</v>
      </c>
      <c r="Y47" s="5">
        <f t="shared" si="11"/>
        <v>4.7718819570808471</v>
      </c>
      <c r="Z47" s="5">
        <f t="shared" si="12"/>
        <v>12.352792997936383</v>
      </c>
      <c r="AA47" s="5">
        <f t="shared" si="13"/>
        <v>9.0572485793577382</v>
      </c>
    </row>
    <row r="48" spans="1:27" x14ac:dyDescent="0.3">
      <c r="A48" s="3" t="s">
        <v>91</v>
      </c>
      <c r="B48" s="9" t="s">
        <v>21</v>
      </c>
      <c r="C48" s="3" t="s">
        <v>22</v>
      </c>
      <c r="D48">
        <v>21</v>
      </c>
      <c r="E48" s="3" t="s">
        <v>23</v>
      </c>
      <c r="F48" s="8">
        <v>45704</v>
      </c>
      <c r="G48">
        <v>46</v>
      </c>
      <c r="H48">
        <v>2</v>
      </c>
      <c r="I48">
        <v>2</v>
      </c>
      <c r="J48">
        <v>3</v>
      </c>
      <c r="K48">
        <v>0</v>
      </c>
      <c r="L48">
        <v>3</v>
      </c>
      <c r="M48">
        <v>2</v>
      </c>
      <c r="N48">
        <v>83</v>
      </c>
      <c r="O48">
        <v>11.2</v>
      </c>
      <c r="P48" s="5">
        <f t="shared" si="7"/>
        <v>3.9130434782608696</v>
      </c>
      <c r="Q48" s="5">
        <f>IF(Performance_Data[[#This Row],[Minutes_Played]]&gt;0,Performance_Data[[#This Row],[Assists]]*90/Performance_Data[[#This Row],[Minutes_Played]], 0)</f>
        <v>3.9130434782608696</v>
      </c>
      <c r="R48" s="5">
        <f>IF(Performance_Data[[#This Row],[Key_Passes]]&gt;0,Performance_Data[[#This Row],[Key_Passes]]*90/Performance_Data[[#This Row],[Minutes_Played]],0)</f>
        <v>5.8695652173913047</v>
      </c>
      <c r="S48" s="5">
        <f>IF(Performance_Data[[#This Row],[Shots]]&gt;0,Performance_Data[[#This Row],[Shots]]*90/Performance_Data[[#This Row],[Minutes_Played]],0)</f>
        <v>0</v>
      </c>
      <c r="T48" s="6">
        <f>IF(Performance_Data[[#This Row],[Successful_Dribbles]]&gt;0,Performance_Data[[#This Row],[Successful_Dribbles]]*90/Performance_Data[[#This Row],[Minutes_Played]],0)</f>
        <v>5.8695652173913047</v>
      </c>
      <c r="U48" s="5">
        <f>IF(Performance_Data[[#This Row],[Duels_Won]]&gt;0,Performance_Data[[#This Row],[Duels_Won]]*90/Performance_Data[[#This Row],[Minutes_Played]],0)</f>
        <v>3.9130434782608696</v>
      </c>
      <c r="V48" s="5">
        <f t="shared" si="8"/>
        <v>1.8879954458122821</v>
      </c>
      <c r="W48" s="5">
        <f t="shared" si="9"/>
        <v>1.5351170568561874</v>
      </c>
      <c r="X48" s="5">
        <f t="shared" si="10"/>
        <v>3.8462250053369389</v>
      </c>
      <c r="Y48" s="5">
        <f t="shared" si="11"/>
        <v>4.2575962427951328</v>
      </c>
      <c r="Z48" s="5">
        <f t="shared" si="12"/>
        <v>9.9267060414146435</v>
      </c>
      <c r="AA48" s="5">
        <f t="shared" si="13"/>
        <v>8.8112858464384836</v>
      </c>
    </row>
    <row r="49" spans="1:27" x14ac:dyDescent="0.3">
      <c r="A49" s="3" t="s">
        <v>92</v>
      </c>
      <c r="B49" s="9" t="s">
        <v>21</v>
      </c>
      <c r="C49" s="3" t="s">
        <v>22</v>
      </c>
      <c r="D49">
        <v>21</v>
      </c>
      <c r="E49" s="3" t="s">
        <v>23</v>
      </c>
      <c r="F49" s="8">
        <v>45705</v>
      </c>
      <c r="G49">
        <v>49</v>
      </c>
      <c r="H49">
        <v>1</v>
      </c>
      <c r="I49">
        <v>1</v>
      </c>
      <c r="J49">
        <v>3</v>
      </c>
      <c r="K49">
        <v>3</v>
      </c>
      <c r="L49">
        <v>5</v>
      </c>
      <c r="M49">
        <v>1</v>
      </c>
      <c r="N49">
        <v>88</v>
      </c>
      <c r="O49">
        <v>11.5</v>
      </c>
      <c r="P49" s="5">
        <f t="shared" si="7"/>
        <v>1.8367346938775511</v>
      </c>
      <c r="Q49" s="5">
        <f>IF(Performance_Data[[#This Row],[Minutes_Played]]&gt;0,Performance_Data[[#This Row],[Assists]]*90/Performance_Data[[#This Row],[Minutes_Played]], 0)</f>
        <v>1.8367346938775511</v>
      </c>
      <c r="R49" s="5">
        <f>IF(Performance_Data[[#This Row],[Key_Passes]]&gt;0,Performance_Data[[#This Row],[Key_Passes]]*90/Performance_Data[[#This Row],[Minutes_Played]],0)</f>
        <v>5.5102040816326534</v>
      </c>
      <c r="S49" s="5">
        <f>IF(Performance_Data[[#This Row],[Shots]]&gt;0,Performance_Data[[#This Row],[Shots]]*90/Performance_Data[[#This Row],[Minutes_Played]],0)</f>
        <v>5.5102040816326534</v>
      </c>
      <c r="T49" s="6">
        <f>IF(Performance_Data[[#This Row],[Successful_Dribbles]]&gt;0,Performance_Data[[#This Row],[Successful_Dribbles]]*90/Performance_Data[[#This Row],[Minutes_Played]],0)</f>
        <v>9.183673469387756</v>
      </c>
      <c r="U49" s="5">
        <f>IF(Performance_Data[[#This Row],[Duels_Won]]&gt;0,Performance_Data[[#This Row],[Duels_Won]]*90/Performance_Data[[#This Row],[Minutes_Played]],0)</f>
        <v>1.8367346938775511</v>
      </c>
      <c r="V49" s="5">
        <f t="shared" si="8"/>
        <v>1.7938039230493306</v>
      </c>
      <c r="W49" s="5">
        <f t="shared" si="9"/>
        <v>1.6716947648624667</v>
      </c>
      <c r="X49" s="5">
        <f t="shared" si="10"/>
        <v>3.5636504370480848</v>
      </c>
      <c r="Y49" s="5">
        <f t="shared" si="11"/>
        <v>4.4365601360447409</v>
      </c>
      <c r="Z49" s="5">
        <f t="shared" si="12"/>
        <v>11.071133042984503</v>
      </c>
      <c r="AA49" s="5">
        <f t="shared" si="13"/>
        <v>7.1017097082909162</v>
      </c>
    </row>
    <row r="50" spans="1:27" x14ac:dyDescent="0.3">
      <c r="A50" s="3" t="s">
        <v>93</v>
      </c>
      <c r="B50" s="9" t="s">
        <v>21</v>
      </c>
      <c r="C50" s="3" t="s">
        <v>22</v>
      </c>
      <c r="D50">
        <v>21</v>
      </c>
      <c r="E50" s="3" t="s">
        <v>23</v>
      </c>
      <c r="F50" s="8">
        <v>45706</v>
      </c>
      <c r="G50">
        <v>67</v>
      </c>
      <c r="H50">
        <v>1</v>
      </c>
      <c r="I50">
        <v>0</v>
      </c>
      <c r="J50">
        <v>3</v>
      </c>
      <c r="K50">
        <v>2</v>
      </c>
      <c r="L50">
        <v>1</v>
      </c>
      <c r="M50">
        <v>10</v>
      </c>
      <c r="N50">
        <v>76</v>
      </c>
      <c r="O50">
        <v>8.1999999999999993</v>
      </c>
      <c r="P50" s="5">
        <f t="shared" si="7"/>
        <v>1.3432835820895523</v>
      </c>
      <c r="Q50" s="5">
        <f>IF(Performance_Data[[#This Row],[Minutes_Played]]&gt;0,Performance_Data[[#This Row],[Assists]]*90/Performance_Data[[#This Row],[Minutes_Played]], 0)</f>
        <v>0</v>
      </c>
      <c r="R50" s="5">
        <f>IF(Performance_Data[[#This Row],[Key_Passes]]&gt;0,Performance_Data[[#This Row],[Key_Passes]]*90/Performance_Data[[#This Row],[Minutes_Played]],0)</f>
        <v>4.0298507462686564</v>
      </c>
      <c r="S50" s="5">
        <f>IF(Performance_Data[[#This Row],[Shots]]&gt;0,Performance_Data[[#This Row],[Shots]]*90/Performance_Data[[#This Row],[Minutes_Played]],0)</f>
        <v>2.6865671641791047</v>
      </c>
      <c r="T50" s="6">
        <f>IF(Performance_Data[[#This Row],[Successful_Dribbles]]&gt;0,Performance_Data[[#This Row],[Successful_Dribbles]]*90/Performance_Data[[#This Row],[Minutes_Played]],0)</f>
        <v>1.3432835820895523</v>
      </c>
      <c r="U50" s="5">
        <f>IF(Performance_Data[[#This Row],[Duels_Won]]&gt;0,Performance_Data[[#This Row],[Duels_Won]]*90/Performance_Data[[#This Row],[Minutes_Played]],0)</f>
        <v>13.432835820895523</v>
      </c>
      <c r="V50" s="5">
        <f t="shared" si="8"/>
        <v>1.8015910742498498</v>
      </c>
      <c r="W50" s="5">
        <f t="shared" si="9"/>
        <v>1.1499556344276842</v>
      </c>
      <c r="X50" s="5">
        <f t="shared" si="10"/>
        <v>3.8478814558670336</v>
      </c>
      <c r="Y50" s="5">
        <f t="shared" si="11"/>
        <v>4.7130040036631708</v>
      </c>
      <c r="Z50" s="5">
        <f t="shared" si="12"/>
        <v>10.035441933315457</v>
      </c>
      <c r="AA50" s="5">
        <f t="shared" si="13"/>
        <v>7.4404507855134998</v>
      </c>
    </row>
    <row r="51" spans="1:27" x14ac:dyDescent="0.3">
      <c r="A51" s="3" t="s">
        <v>94</v>
      </c>
      <c r="B51" s="9" t="s">
        <v>21</v>
      </c>
      <c r="C51" s="3" t="s">
        <v>22</v>
      </c>
      <c r="D51">
        <v>21</v>
      </c>
      <c r="E51" s="3" t="s">
        <v>23</v>
      </c>
      <c r="F51" s="8">
        <v>45707</v>
      </c>
      <c r="G51">
        <v>48</v>
      </c>
      <c r="H51">
        <v>1</v>
      </c>
      <c r="I51">
        <v>2</v>
      </c>
      <c r="J51">
        <v>1</v>
      </c>
      <c r="K51">
        <v>3</v>
      </c>
      <c r="L51">
        <v>6</v>
      </c>
      <c r="M51">
        <v>1</v>
      </c>
      <c r="N51">
        <v>74</v>
      </c>
      <c r="O51">
        <v>11.5</v>
      </c>
      <c r="P51" s="5">
        <f t="shared" si="7"/>
        <v>1.875</v>
      </c>
      <c r="Q51" s="5">
        <f>IF(Performance_Data[[#This Row],[Minutes_Played]]&gt;0,Performance_Data[[#This Row],[Assists]]*90/Performance_Data[[#This Row],[Minutes_Played]], 0)</f>
        <v>3.75</v>
      </c>
      <c r="R51" s="5">
        <f>IF(Performance_Data[[#This Row],[Key_Passes]]&gt;0,Performance_Data[[#This Row],[Key_Passes]]*90/Performance_Data[[#This Row],[Minutes_Played]],0)</f>
        <v>1.875</v>
      </c>
      <c r="S51" s="5">
        <f>IF(Performance_Data[[#This Row],[Shots]]&gt;0,Performance_Data[[#This Row],[Shots]]*90/Performance_Data[[#This Row],[Minutes_Played]],0)</f>
        <v>5.625</v>
      </c>
      <c r="T51" s="6">
        <f>IF(Performance_Data[[#This Row],[Successful_Dribbles]]&gt;0,Performance_Data[[#This Row],[Successful_Dribbles]]*90/Performance_Data[[#This Row],[Minutes_Played]],0)</f>
        <v>11.25</v>
      </c>
      <c r="U51" s="5">
        <f>IF(Performance_Data[[#This Row],[Duels_Won]]&gt;0,Performance_Data[[#This Row],[Duels_Won]]*90/Performance_Data[[#This Row],[Minutes_Played]],0)</f>
        <v>1.875</v>
      </c>
      <c r="V51" s="5">
        <f t="shared" si="8"/>
        <v>2.17659107424985</v>
      </c>
      <c r="W51" s="5">
        <f t="shared" si="9"/>
        <v>1.899955634427684</v>
      </c>
      <c r="X51" s="5">
        <f t="shared" si="10"/>
        <v>4.222881455867034</v>
      </c>
      <c r="Y51" s="5">
        <f t="shared" si="11"/>
        <v>3.5303116959708616</v>
      </c>
      <c r="Z51" s="5">
        <f t="shared" si="12"/>
        <v>8.5931342410077658</v>
      </c>
      <c r="AA51" s="5">
        <f t="shared" si="13"/>
        <v>6.8923738624365765</v>
      </c>
    </row>
    <row r="52" spans="1:27" x14ac:dyDescent="0.3">
      <c r="A52" s="3" t="s">
        <v>95</v>
      </c>
      <c r="B52" s="9" t="s">
        <v>21</v>
      </c>
      <c r="C52" s="3" t="s">
        <v>22</v>
      </c>
      <c r="D52">
        <v>21</v>
      </c>
      <c r="E52" s="3" t="s">
        <v>23</v>
      </c>
      <c r="F52" s="8">
        <v>45708</v>
      </c>
      <c r="G52">
        <v>58</v>
      </c>
      <c r="H52">
        <v>0</v>
      </c>
      <c r="I52">
        <v>1</v>
      </c>
      <c r="J52">
        <v>0</v>
      </c>
      <c r="K52">
        <v>2</v>
      </c>
      <c r="L52">
        <v>3</v>
      </c>
      <c r="M52">
        <v>11</v>
      </c>
      <c r="N52">
        <v>85</v>
      </c>
      <c r="O52">
        <v>10</v>
      </c>
      <c r="P52" s="5">
        <f t="shared" si="7"/>
        <v>0</v>
      </c>
      <c r="Q52" s="5">
        <f>IF(Performance_Data[[#This Row],[Minutes_Played]]&gt;0,Performance_Data[[#This Row],[Assists]]*90/Performance_Data[[#This Row],[Minutes_Played]], 0)</f>
        <v>1.5517241379310345</v>
      </c>
      <c r="R52" s="5">
        <f>IF(Performance_Data[[#This Row],[Key_Passes]]&gt;0,Performance_Data[[#This Row],[Key_Passes]]*90/Performance_Data[[#This Row],[Minutes_Played]],0)</f>
        <v>0</v>
      </c>
      <c r="S52" s="5">
        <f>IF(Performance_Data[[#This Row],[Shots]]&gt;0,Performance_Data[[#This Row],[Shots]]*90/Performance_Data[[#This Row],[Minutes_Played]],0)</f>
        <v>3.103448275862069</v>
      </c>
      <c r="T52" s="6">
        <f>IF(Performance_Data[[#This Row],[Successful_Dribbles]]&gt;0,Performance_Data[[#This Row],[Successful_Dribbles]]*90/Performance_Data[[#This Row],[Minutes_Played]],0)</f>
        <v>4.6551724137931032</v>
      </c>
      <c r="U52" s="5">
        <f>IF(Performance_Data[[#This Row],[Duels_Won]]&gt;0,Performance_Data[[#This Row],[Duels_Won]]*90/Performance_Data[[#This Row],[Minutes_Played]],0)</f>
        <v>17.068965517241381</v>
      </c>
      <c r="V52" s="5">
        <f t="shared" si="8"/>
        <v>1.7936123508455946</v>
      </c>
      <c r="W52" s="5">
        <f t="shared" si="9"/>
        <v>2.2103004620138909</v>
      </c>
      <c r="X52" s="5">
        <f t="shared" si="10"/>
        <v>3.4569240090585232</v>
      </c>
      <c r="Y52" s="5">
        <f t="shared" si="11"/>
        <v>3.3850439043347658</v>
      </c>
      <c r="Z52" s="5">
        <f t="shared" si="12"/>
        <v>6.4603389365323434</v>
      </c>
      <c r="AA52" s="5">
        <f t="shared" si="13"/>
        <v>7.625315902055064</v>
      </c>
    </row>
    <row r="53" spans="1:27" x14ac:dyDescent="0.3">
      <c r="A53" s="3" t="s">
        <v>96</v>
      </c>
      <c r="B53" s="9" t="s">
        <v>21</v>
      </c>
      <c r="C53" s="3" t="s">
        <v>22</v>
      </c>
      <c r="D53">
        <v>21</v>
      </c>
      <c r="E53" s="3" t="s">
        <v>23</v>
      </c>
      <c r="F53" s="8">
        <v>45709</v>
      </c>
      <c r="G53">
        <v>61</v>
      </c>
      <c r="H53">
        <v>0</v>
      </c>
      <c r="I53">
        <v>2</v>
      </c>
      <c r="J53">
        <v>4</v>
      </c>
      <c r="K53">
        <v>3</v>
      </c>
      <c r="L53">
        <v>7</v>
      </c>
      <c r="M53">
        <v>4</v>
      </c>
      <c r="N53">
        <v>77</v>
      </c>
      <c r="O53">
        <v>11.7</v>
      </c>
      <c r="P53" s="5">
        <f t="shared" si="7"/>
        <v>0</v>
      </c>
      <c r="Q53" s="5">
        <f>IF(Performance_Data[[#This Row],[Minutes_Played]]&gt;0,Performance_Data[[#This Row],[Assists]]*90/Performance_Data[[#This Row],[Minutes_Played]], 0)</f>
        <v>2.9508196721311477</v>
      </c>
      <c r="R53" s="5">
        <f>IF(Performance_Data[[#This Row],[Key_Passes]]&gt;0,Performance_Data[[#This Row],[Key_Passes]]*90/Performance_Data[[#This Row],[Minutes_Played]],0)</f>
        <v>5.9016393442622954</v>
      </c>
      <c r="S53" s="5">
        <f>IF(Performance_Data[[#This Row],[Shots]]&gt;0,Performance_Data[[#This Row],[Shots]]*90/Performance_Data[[#This Row],[Minutes_Played]],0)</f>
        <v>4.4262295081967213</v>
      </c>
      <c r="T53" s="6">
        <f>IF(Performance_Data[[#This Row],[Successful_Dribbles]]&gt;0,Performance_Data[[#This Row],[Successful_Dribbles]]*90/Performance_Data[[#This Row],[Minutes_Played]],0)</f>
        <v>10.327868852459016</v>
      </c>
      <c r="U53" s="5">
        <f>IF(Performance_Data[[#This Row],[Duels_Won]]&gt;0,Performance_Data[[#This Row],[Duels_Won]]*90/Performance_Data[[#This Row],[Minutes_Played]],0)</f>
        <v>5.9016393442622954</v>
      </c>
      <c r="V53" s="5">
        <f t="shared" si="8"/>
        <v>1.0110036551934207</v>
      </c>
      <c r="W53" s="5">
        <f t="shared" si="9"/>
        <v>2.0178557007879467</v>
      </c>
      <c r="X53" s="5">
        <f t="shared" si="10"/>
        <v>3.4633388344327209</v>
      </c>
      <c r="Y53" s="5">
        <f t="shared" si="11"/>
        <v>4.2702898059741106</v>
      </c>
      <c r="Z53" s="5">
        <f t="shared" si="12"/>
        <v>7.3519996635458851</v>
      </c>
      <c r="AA53" s="5">
        <f t="shared" si="13"/>
        <v>8.0230350752553488</v>
      </c>
    </row>
    <row r="54" spans="1:27" x14ac:dyDescent="0.3">
      <c r="A54" s="3" t="s">
        <v>97</v>
      </c>
      <c r="B54" s="9" t="s">
        <v>21</v>
      </c>
      <c r="C54" s="3" t="s">
        <v>22</v>
      </c>
      <c r="D54">
        <v>21</v>
      </c>
      <c r="E54" s="3" t="s">
        <v>23</v>
      </c>
      <c r="F54" s="8">
        <v>45710</v>
      </c>
      <c r="G54">
        <v>44</v>
      </c>
      <c r="H54">
        <v>0</v>
      </c>
      <c r="I54">
        <v>2</v>
      </c>
      <c r="J54">
        <v>1</v>
      </c>
      <c r="K54">
        <v>6</v>
      </c>
      <c r="L54">
        <v>6</v>
      </c>
      <c r="M54">
        <v>12</v>
      </c>
      <c r="N54">
        <v>67</v>
      </c>
      <c r="O54">
        <v>11.9</v>
      </c>
      <c r="P54" s="5">
        <f t="shared" si="7"/>
        <v>0</v>
      </c>
      <c r="Q54" s="5">
        <f>IF(Performance_Data[[#This Row],[Minutes_Played]]&gt;0,Performance_Data[[#This Row],[Assists]]*90/Performance_Data[[#This Row],[Minutes_Played]], 0)</f>
        <v>4.0909090909090908</v>
      </c>
      <c r="R54" s="5">
        <f>IF(Performance_Data[[#This Row],[Key_Passes]]&gt;0,Performance_Data[[#This Row],[Key_Passes]]*90/Performance_Data[[#This Row],[Minutes_Played]],0)</f>
        <v>2.0454545454545454</v>
      </c>
      <c r="S54" s="5">
        <f>IF(Performance_Data[[#This Row],[Shots]]&gt;0,Performance_Data[[#This Row],[Shots]]*90/Performance_Data[[#This Row],[Minutes_Played]],0)</f>
        <v>12.272727272727273</v>
      </c>
      <c r="T54" s="6">
        <f>IF(Performance_Data[[#This Row],[Successful_Dribbles]]&gt;0,Performance_Data[[#This Row],[Successful_Dribbles]]*90/Performance_Data[[#This Row],[Minutes_Played]],0)</f>
        <v>12.272727272727273</v>
      </c>
      <c r="U54" s="5">
        <f>IF(Performance_Data[[#This Row],[Duels_Won]]&gt;0,Performance_Data[[#This Row],[Duels_Won]]*90/Performance_Data[[#This Row],[Minutes_Played]],0)</f>
        <v>24.545454545454547</v>
      </c>
      <c r="V54" s="5">
        <f t="shared" si="8"/>
        <v>0.64365671641791045</v>
      </c>
      <c r="W54" s="5">
        <f t="shared" si="9"/>
        <v>2.4686905801942545</v>
      </c>
      <c r="X54" s="5">
        <f t="shared" si="10"/>
        <v>2.7703889271970992</v>
      </c>
      <c r="Y54" s="5">
        <f t="shared" si="11"/>
        <v>5.6227944441930333</v>
      </c>
      <c r="Z54" s="5">
        <f t="shared" si="12"/>
        <v>7.9698104242137902</v>
      </c>
      <c r="AA54" s="5">
        <f t="shared" si="13"/>
        <v>12.564779045570749</v>
      </c>
    </row>
    <row r="55" spans="1:27" x14ac:dyDescent="0.3">
      <c r="A55" s="3" t="s">
        <v>98</v>
      </c>
      <c r="B55" s="9" t="s">
        <v>21</v>
      </c>
      <c r="C55" s="3" t="s">
        <v>22</v>
      </c>
      <c r="D55">
        <v>21</v>
      </c>
      <c r="E55" s="3" t="s">
        <v>23</v>
      </c>
      <c r="F55" s="8">
        <v>45711</v>
      </c>
      <c r="G55">
        <v>53</v>
      </c>
      <c r="H55">
        <v>0</v>
      </c>
      <c r="I55">
        <v>1</v>
      </c>
      <c r="J55">
        <v>3</v>
      </c>
      <c r="K55">
        <v>4</v>
      </c>
      <c r="L55">
        <v>6</v>
      </c>
      <c r="M55">
        <v>7</v>
      </c>
      <c r="N55">
        <v>67</v>
      </c>
      <c r="O55">
        <v>8.6999999999999993</v>
      </c>
      <c r="P55" s="5">
        <f t="shared" si="7"/>
        <v>0</v>
      </c>
      <c r="Q55" s="5">
        <f>IF(Performance_Data[[#This Row],[Minutes_Played]]&gt;0,Performance_Data[[#This Row],[Assists]]*90/Performance_Data[[#This Row],[Minutes_Played]], 0)</f>
        <v>1.6981132075471699</v>
      </c>
      <c r="R55" s="5">
        <f>IF(Performance_Data[[#This Row],[Key_Passes]]&gt;0,Performance_Data[[#This Row],[Key_Passes]]*90/Performance_Data[[#This Row],[Minutes_Played]],0)</f>
        <v>5.0943396226415096</v>
      </c>
      <c r="S55" s="5">
        <f>IF(Performance_Data[[#This Row],[Shots]]&gt;0,Performance_Data[[#This Row],[Shots]]*90/Performance_Data[[#This Row],[Minutes_Played]],0)</f>
        <v>6.7924528301886795</v>
      </c>
      <c r="T55" s="6">
        <f>IF(Performance_Data[[#This Row],[Successful_Dribbles]]&gt;0,Performance_Data[[#This Row],[Successful_Dribbles]]*90/Performance_Data[[#This Row],[Minutes_Played]],0)</f>
        <v>10.188679245283019</v>
      </c>
      <c r="U55" s="5">
        <f>IF(Performance_Data[[#This Row],[Duels_Won]]&gt;0,Performance_Data[[#This Row],[Duels_Won]]*90/Performance_Data[[#This Row],[Minutes_Played]],0)</f>
        <v>11.886792452830189</v>
      </c>
      <c r="V55" s="5">
        <f t="shared" si="8"/>
        <v>0.375</v>
      </c>
      <c r="W55" s="5">
        <f t="shared" si="9"/>
        <v>2.8083132217036884</v>
      </c>
      <c r="X55" s="5">
        <f t="shared" si="10"/>
        <v>2.9832867024716703</v>
      </c>
      <c r="Y55" s="5">
        <f t="shared" si="11"/>
        <v>6.4439715773949491</v>
      </c>
      <c r="Z55" s="5">
        <f t="shared" si="12"/>
        <v>9.7388895568524827</v>
      </c>
      <c r="AA55" s="5">
        <f t="shared" si="13"/>
        <v>12.255570371957683</v>
      </c>
    </row>
    <row r="56" spans="1:27" x14ac:dyDescent="0.3">
      <c r="A56" s="3" t="s">
        <v>99</v>
      </c>
      <c r="B56" s="9" t="s">
        <v>21</v>
      </c>
      <c r="C56" s="3" t="s">
        <v>22</v>
      </c>
      <c r="D56">
        <v>21</v>
      </c>
      <c r="E56" s="3" t="s">
        <v>23</v>
      </c>
      <c r="F56" s="8">
        <v>45712</v>
      </c>
      <c r="G56">
        <v>39</v>
      </c>
      <c r="H56">
        <v>2</v>
      </c>
      <c r="I56">
        <v>2</v>
      </c>
      <c r="J56">
        <v>4</v>
      </c>
      <c r="K56">
        <v>5</v>
      </c>
      <c r="L56">
        <v>3</v>
      </c>
      <c r="M56">
        <v>11</v>
      </c>
      <c r="N56">
        <v>84</v>
      </c>
      <c r="O56">
        <v>8.1999999999999993</v>
      </c>
      <c r="P56" s="5">
        <f t="shared" si="7"/>
        <v>4.615384615384615</v>
      </c>
      <c r="Q56" s="5">
        <f>IF(Performance_Data[[#This Row],[Minutes_Played]]&gt;0,Performance_Data[[#This Row],[Assists]]*90/Performance_Data[[#This Row],[Minutes_Played]], 0)</f>
        <v>4.615384615384615</v>
      </c>
      <c r="R56" s="5">
        <f>IF(Performance_Data[[#This Row],[Key_Passes]]&gt;0,Performance_Data[[#This Row],[Key_Passes]]*90/Performance_Data[[#This Row],[Minutes_Played]],0)</f>
        <v>9.2307692307692299</v>
      </c>
      <c r="S56" s="5">
        <f>IF(Performance_Data[[#This Row],[Shots]]&gt;0,Performance_Data[[#This Row],[Shots]]*90/Performance_Data[[#This Row],[Minutes_Played]],0)</f>
        <v>11.538461538461538</v>
      </c>
      <c r="T56" s="6">
        <f>IF(Performance_Data[[#This Row],[Successful_Dribbles]]&gt;0,Performance_Data[[#This Row],[Successful_Dribbles]]*90/Performance_Data[[#This Row],[Minutes_Played]],0)</f>
        <v>6.9230769230769234</v>
      </c>
      <c r="U56" s="5">
        <f>IF(Performance_Data[[#This Row],[Duels_Won]]&gt;0,Performance_Data[[#This Row],[Duels_Won]]*90/Performance_Data[[#This Row],[Minutes_Played]],0)</f>
        <v>25.384615384615383</v>
      </c>
      <c r="V56" s="5">
        <f t="shared" si="8"/>
        <v>0.92307692307692302</v>
      </c>
      <c r="W56" s="5">
        <f t="shared" si="9"/>
        <v>2.9813901447806113</v>
      </c>
      <c r="X56" s="5">
        <f t="shared" si="10"/>
        <v>4.4544405486255156</v>
      </c>
      <c r="Y56" s="5">
        <f t="shared" si="11"/>
        <v>7.6266638850872566</v>
      </c>
      <c r="Z56" s="5">
        <f t="shared" si="12"/>
        <v>8.8735049414678659</v>
      </c>
      <c r="AA56" s="5">
        <f t="shared" si="13"/>
        <v>16.957493448880761</v>
      </c>
    </row>
    <row r="57" spans="1:27" x14ac:dyDescent="0.3">
      <c r="A57" s="3" t="s">
        <v>100</v>
      </c>
      <c r="B57" s="9" t="s">
        <v>21</v>
      </c>
      <c r="C57" s="3" t="s">
        <v>22</v>
      </c>
      <c r="D57">
        <v>21</v>
      </c>
      <c r="E57" s="3" t="s">
        <v>23</v>
      </c>
      <c r="F57" s="8">
        <v>45713</v>
      </c>
      <c r="G57">
        <v>68</v>
      </c>
      <c r="H57">
        <v>0</v>
      </c>
      <c r="I57">
        <v>1</v>
      </c>
      <c r="J57">
        <v>3</v>
      </c>
      <c r="K57">
        <v>6</v>
      </c>
      <c r="L57">
        <v>1</v>
      </c>
      <c r="M57">
        <v>0</v>
      </c>
      <c r="N57">
        <v>76</v>
      </c>
      <c r="O57">
        <v>9.5</v>
      </c>
      <c r="P57" s="5">
        <f t="shared" si="7"/>
        <v>0</v>
      </c>
      <c r="Q57" s="5">
        <f>IF(Performance_Data[[#This Row],[Minutes_Played]]&gt;0,Performance_Data[[#This Row],[Assists]]*90/Performance_Data[[#This Row],[Minutes_Played]], 0)</f>
        <v>1.3235294117647058</v>
      </c>
      <c r="R57" s="5">
        <f>IF(Performance_Data[[#This Row],[Key_Passes]]&gt;0,Performance_Data[[#This Row],[Key_Passes]]*90/Performance_Data[[#This Row],[Minutes_Played]],0)</f>
        <v>3.9705882352941178</v>
      </c>
      <c r="S57" s="5">
        <f>IF(Performance_Data[[#This Row],[Shots]]&gt;0,Performance_Data[[#This Row],[Shots]]*90/Performance_Data[[#This Row],[Minutes_Played]],0)</f>
        <v>7.9411764705882355</v>
      </c>
      <c r="T57" s="6">
        <f>IF(Performance_Data[[#This Row],[Successful_Dribbles]]&gt;0,Performance_Data[[#This Row],[Successful_Dribbles]]*90/Performance_Data[[#This Row],[Minutes_Played]],0)</f>
        <v>1.3235294117647058</v>
      </c>
      <c r="U57" s="5">
        <f>IF(Performance_Data[[#This Row],[Duels_Won]]&gt;0,Performance_Data[[#This Row],[Duels_Won]]*90/Performance_Data[[#This Row],[Minutes_Played]],0)</f>
        <v>0</v>
      </c>
      <c r="V57" s="5">
        <f t="shared" si="8"/>
        <v>0.92307692307692302</v>
      </c>
      <c r="W57" s="5">
        <f t="shared" si="9"/>
        <v>2.935751199547346</v>
      </c>
      <c r="X57" s="5">
        <f t="shared" si="10"/>
        <v>5.248558195684339</v>
      </c>
      <c r="Y57" s="5">
        <f t="shared" si="11"/>
        <v>8.5942095240324896</v>
      </c>
      <c r="Z57" s="5">
        <f t="shared" si="12"/>
        <v>8.207176341062187</v>
      </c>
      <c r="AA57" s="5">
        <f t="shared" si="13"/>
        <v>13.543700345432484</v>
      </c>
    </row>
    <row r="58" spans="1:27" x14ac:dyDescent="0.3">
      <c r="A58" s="3" t="s">
        <v>101</v>
      </c>
      <c r="B58" s="9" t="s">
        <v>21</v>
      </c>
      <c r="C58" s="3" t="s">
        <v>22</v>
      </c>
      <c r="D58">
        <v>21</v>
      </c>
      <c r="E58" s="3" t="s">
        <v>23</v>
      </c>
      <c r="F58" s="8">
        <v>45714</v>
      </c>
      <c r="G58">
        <v>86</v>
      </c>
      <c r="H58">
        <v>0</v>
      </c>
      <c r="I58">
        <v>2</v>
      </c>
      <c r="J58">
        <v>0</v>
      </c>
      <c r="K58">
        <v>1</v>
      </c>
      <c r="L58">
        <v>8</v>
      </c>
      <c r="M58">
        <v>6</v>
      </c>
      <c r="N58">
        <v>89</v>
      </c>
      <c r="O58">
        <v>11.5</v>
      </c>
      <c r="P58" s="5">
        <f t="shared" si="7"/>
        <v>0</v>
      </c>
      <c r="Q58" s="5">
        <f>IF(Performance_Data[[#This Row],[Minutes_Played]]&gt;0,Performance_Data[[#This Row],[Assists]]*90/Performance_Data[[#This Row],[Minutes_Played]], 0)</f>
        <v>2.0930232558139537</v>
      </c>
      <c r="R58" s="5">
        <f>IF(Performance_Data[[#This Row],[Key_Passes]]&gt;0,Performance_Data[[#This Row],[Key_Passes]]*90/Performance_Data[[#This Row],[Minutes_Played]],0)</f>
        <v>0</v>
      </c>
      <c r="S58" s="5">
        <f>IF(Performance_Data[[#This Row],[Shots]]&gt;0,Performance_Data[[#This Row],[Shots]]*90/Performance_Data[[#This Row],[Minutes_Played]],0)</f>
        <v>1.0465116279069768</v>
      </c>
      <c r="T58" s="6">
        <f>IF(Performance_Data[[#This Row],[Successful_Dribbles]]&gt;0,Performance_Data[[#This Row],[Successful_Dribbles]]*90/Performance_Data[[#This Row],[Minutes_Played]],0)</f>
        <v>8.3720930232558146</v>
      </c>
      <c r="U58" s="5">
        <f>IF(Performance_Data[[#This Row],[Duels_Won]]&gt;0,Performance_Data[[#This Row],[Duels_Won]]*90/Performance_Data[[#This Row],[Minutes_Played]],0)</f>
        <v>6.2790697674418601</v>
      </c>
      <c r="V58" s="5">
        <f t="shared" si="8"/>
        <v>0.92307692307692302</v>
      </c>
      <c r="W58" s="5">
        <f t="shared" si="9"/>
        <v>2.7641919162839073</v>
      </c>
      <c r="X58" s="5">
        <f t="shared" si="10"/>
        <v>4.0682303268318805</v>
      </c>
      <c r="Y58" s="5">
        <f t="shared" si="11"/>
        <v>7.9182659479745414</v>
      </c>
      <c r="Z58" s="5">
        <f t="shared" si="12"/>
        <v>7.8160211752215476</v>
      </c>
      <c r="AA58" s="5">
        <f t="shared" si="13"/>
        <v>13.619186430068396</v>
      </c>
    </row>
    <row r="59" spans="1:27" x14ac:dyDescent="0.3">
      <c r="A59" s="3" t="s">
        <v>102</v>
      </c>
      <c r="B59" s="9" t="s">
        <v>21</v>
      </c>
      <c r="C59" s="3" t="s">
        <v>22</v>
      </c>
      <c r="D59">
        <v>21</v>
      </c>
      <c r="E59" s="3" t="s">
        <v>23</v>
      </c>
      <c r="F59" s="8">
        <v>45715</v>
      </c>
      <c r="G59">
        <v>37</v>
      </c>
      <c r="H59">
        <v>2</v>
      </c>
      <c r="I59">
        <v>1</v>
      </c>
      <c r="J59">
        <v>1</v>
      </c>
      <c r="K59">
        <v>2</v>
      </c>
      <c r="L59">
        <v>6</v>
      </c>
      <c r="M59">
        <v>3</v>
      </c>
      <c r="N59">
        <v>85</v>
      </c>
      <c r="O59">
        <v>12</v>
      </c>
      <c r="P59" s="5">
        <f t="shared" si="7"/>
        <v>4.8648648648648649</v>
      </c>
      <c r="Q59" s="5">
        <f>IF(Performance_Data[[#This Row],[Minutes_Played]]&gt;0,Performance_Data[[#This Row],[Assists]]*90/Performance_Data[[#This Row],[Minutes_Played]], 0)</f>
        <v>2.4324324324324325</v>
      </c>
      <c r="R59" s="5">
        <f>IF(Performance_Data[[#This Row],[Key_Passes]]&gt;0,Performance_Data[[#This Row],[Key_Passes]]*90/Performance_Data[[#This Row],[Minutes_Played]],0)</f>
        <v>2.4324324324324325</v>
      </c>
      <c r="S59" s="5">
        <f>IF(Performance_Data[[#This Row],[Shots]]&gt;0,Performance_Data[[#This Row],[Shots]]*90/Performance_Data[[#This Row],[Minutes_Played]],0)</f>
        <v>4.8648648648648649</v>
      </c>
      <c r="T59" s="6">
        <f>IF(Performance_Data[[#This Row],[Successful_Dribbles]]&gt;0,Performance_Data[[#This Row],[Successful_Dribbles]]*90/Performance_Data[[#This Row],[Minutes_Played]],0)</f>
        <v>14.594594594594595</v>
      </c>
      <c r="U59" s="5">
        <f>IF(Performance_Data[[#This Row],[Duels_Won]]&gt;0,Performance_Data[[#This Row],[Duels_Won]]*90/Performance_Data[[#This Row],[Minutes_Played]],0)</f>
        <v>7.2972972972972974</v>
      </c>
      <c r="V59" s="5">
        <f t="shared" si="8"/>
        <v>1.8960498960498959</v>
      </c>
      <c r="W59" s="5">
        <f t="shared" si="9"/>
        <v>2.4324965845885749</v>
      </c>
      <c r="X59" s="5">
        <f t="shared" si="10"/>
        <v>4.1456259042274572</v>
      </c>
      <c r="Y59" s="5">
        <f t="shared" si="11"/>
        <v>6.4366934664020592</v>
      </c>
      <c r="Z59" s="5">
        <f t="shared" si="12"/>
        <v>8.2803946395950128</v>
      </c>
      <c r="AA59" s="5">
        <f t="shared" si="13"/>
        <v>10.169554980436946</v>
      </c>
    </row>
    <row r="60" spans="1:27" x14ac:dyDescent="0.3">
      <c r="A60" s="3" t="s">
        <v>103</v>
      </c>
      <c r="B60" s="9" t="s">
        <v>21</v>
      </c>
      <c r="C60" s="3" t="s">
        <v>22</v>
      </c>
      <c r="D60">
        <v>21</v>
      </c>
      <c r="E60" s="3" t="s">
        <v>23</v>
      </c>
      <c r="F60" s="8">
        <v>45716</v>
      </c>
      <c r="G60">
        <v>36</v>
      </c>
      <c r="H60">
        <v>2</v>
      </c>
      <c r="I60">
        <v>2</v>
      </c>
      <c r="J60">
        <v>4</v>
      </c>
      <c r="K60">
        <v>4</v>
      </c>
      <c r="L60">
        <v>2</v>
      </c>
      <c r="M60">
        <v>9</v>
      </c>
      <c r="N60">
        <v>90</v>
      </c>
      <c r="O60">
        <v>11.6</v>
      </c>
      <c r="P60" s="5">
        <f t="shared" si="7"/>
        <v>5</v>
      </c>
      <c r="Q60" s="5">
        <f>IF(Performance_Data[[#This Row],[Minutes_Played]]&gt;0,Performance_Data[[#This Row],[Assists]]*90/Performance_Data[[#This Row],[Minutes_Played]], 0)</f>
        <v>5</v>
      </c>
      <c r="R60" s="5">
        <f>IF(Performance_Data[[#This Row],[Key_Passes]]&gt;0,Performance_Data[[#This Row],[Key_Passes]]*90/Performance_Data[[#This Row],[Minutes_Played]],0)</f>
        <v>10</v>
      </c>
      <c r="S60" s="5">
        <f>IF(Performance_Data[[#This Row],[Shots]]&gt;0,Performance_Data[[#This Row],[Shots]]*90/Performance_Data[[#This Row],[Minutes_Played]],0)</f>
        <v>10</v>
      </c>
      <c r="T60" s="6">
        <f>IF(Performance_Data[[#This Row],[Successful_Dribbles]]&gt;0,Performance_Data[[#This Row],[Successful_Dribbles]]*90/Performance_Data[[#This Row],[Minutes_Played]],0)</f>
        <v>5</v>
      </c>
      <c r="U60" s="5">
        <f>IF(Performance_Data[[#This Row],[Duels_Won]]&gt;0,Performance_Data[[#This Row],[Duels_Won]]*90/Performance_Data[[#This Row],[Minutes_Played]],0)</f>
        <v>22.5</v>
      </c>
      <c r="V60" s="5">
        <f t="shared" si="8"/>
        <v>2.8960498960498962</v>
      </c>
      <c r="W60" s="5">
        <f t="shared" si="9"/>
        <v>3.092873943079141</v>
      </c>
      <c r="X60" s="5">
        <f t="shared" si="10"/>
        <v>5.126757979699156</v>
      </c>
      <c r="Y60" s="5">
        <f t="shared" si="11"/>
        <v>7.0782029003643228</v>
      </c>
      <c r="Z60" s="5">
        <f t="shared" si="12"/>
        <v>7.2426587905384086</v>
      </c>
      <c r="AA60" s="5">
        <f t="shared" si="13"/>
        <v>12.292196489870907</v>
      </c>
    </row>
    <row r="61" spans="1:27" x14ac:dyDescent="0.3">
      <c r="A61" s="3" t="s">
        <v>104</v>
      </c>
      <c r="B61" s="9" t="s">
        <v>21</v>
      </c>
      <c r="C61" s="3" t="s">
        <v>22</v>
      </c>
      <c r="D61">
        <v>21</v>
      </c>
      <c r="E61" s="3" t="s">
        <v>23</v>
      </c>
      <c r="F61" s="8">
        <v>45717</v>
      </c>
      <c r="G61">
        <v>56</v>
      </c>
      <c r="H61">
        <v>0</v>
      </c>
      <c r="I61">
        <v>0</v>
      </c>
      <c r="J61">
        <v>1</v>
      </c>
      <c r="K61">
        <v>3</v>
      </c>
      <c r="L61">
        <v>8</v>
      </c>
      <c r="M61">
        <v>0</v>
      </c>
      <c r="N61">
        <v>73</v>
      </c>
      <c r="O61">
        <v>8.3000000000000007</v>
      </c>
      <c r="P61" s="5">
        <f t="shared" si="7"/>
        <v>0</v>
      </c>
      <c r="Q61" s="5">
        <f>IF(Performance_Data[[#This Row],[Minutes_Played]]&gt;0,Performance_Data[[#This Row],[Assists]]*90/Performance_Data[[#This Row],[Minutes_Played]], 0)</f>
        <v>0</v>
      </c>
      <c r="R61" s="5">
        <f>IF(Performance_Data[[#This Row],[Key_Passes]]&gt;0,Performance_Data[[#This Row],[Key_Passes]]*90/Performance_Data[[#This Row],[Minutes_Played]],0)</f>
        <v>1.6071428571428572</v>
      </c>
      <c r="S61" s="5">
        <f>IF(Performance_Data[[#This Row],[Shots]]&gt;0,Performance_Data[[#This Row],[Shots]]*90/Performance_Data[[#This Row],[Minutes_Played]],0)</f>
        <v>4.8214285714285712</v>
      </c>
      <c r="T61" s="6">
        <f>IF(Performance_Data[[#This Row],[Successful_Dribbles]]&gt;0,Performance_Data[[#This Row],[Successful_Dribbles]]*90/Performance_Data[[#This Row],[Minutes_Played]],0)</f>
        <v>12.857142857142858</v>
      </c>
      <c r="U61" s="5">
        <f>IF(Performance_Data[[#This Row],[Duels_Won]]&gt;0,Performance_Data[[#This Row],[Duels_Won]]*90/Performance_Data[[#This Row],[Minutes_Played]],0)</f>
        <v>0</v>
      </c>
      <c r="V61" s="5">
        <f t="shared" si="8"/>
        <v>1.972972972972973</v>
      </c>
      <c r="W61" s="5">
        <f t="shared" si="9"/>
        <v>2.1697970200022185</v>
      </c>
      <c r="X61" s="5">
        <f t="shared" si="10"/>
        <v>3.6020327049738818</v>
      </c>
      <c r="Y61" s="5">
        <f t="shared" si="11"/>
        <v>5.7347963069577288</v>
      </c>
      <c r="Z61" s="5">
        <f t="shared" si="12"/>
        <v>8.4294719773515929</v>
      </c>
      <c r="AA61" s="5">
        <f t="shared" si="13"/>
        <v>7.2152734129478322</v>
      </c>
    </row>
    <row r="62" spans="1:27" x14ac:dyDescent="0.3">
      <c r="A62" s="3" t="s">
        <v>105</v>
      </c>
      <c r="B62" s="9" t="s">
        <v>24</v>
      </c>
      <c r="C62" s="3" t="s">
        <v>25</v>
      </c>
      <c r="D62">
        <v>18</v>
      </c>
      <c r="E62" s="3" t="s">
        <v>26</v>
      </c>
      <c r="F62" s="8">
        <v>45718</v>
      </c>
      <c r="G62">
        <v>50</v>
      </c>
      <c r="H62">
        <v>1</v>
      </c>
      <c r="I62">
        <v>0</v>
      </c>
      <c r="J62">
        <v>0</v>
      </c>
      <c r="K62">
        <v>3</v>
      </c>
      <c r="L62">
        <v>4</v>
      </c>
      <c r="M62">
        <v>4</v>
      </c>
      <c r="N62">
        <v>80</v>
      </c>
      <c r="O62">
        <v>11.4</v>
      </c>
      <c r="P62" s="5">
        <f t="shared" si="7"/>
        <v>1.8</v>
      </c>
      <c r="Q62" s="5">
        <f>IF(Performance_Data[[#This Row],[Minutes_Played]]&gt;0,Performance_Data[[#This Row],[Assists]]*90/Performance_Data[[#This Row],[Minutes_Played]], 0)</f>
        <v>0</v>
      </c>
      <c r="R62" s="5">
        <f>IF(Performance_Data[[#This Row],[Key_Passes]]&gt;0,Performance_Data[[#This Row],[Key_Passes]]*90/Performance_Data[[#This Row],[Minutes_Played]],0)</f>
        <v>0</v>
      </c>
      <c r="S62" s="5">
        <f>IF(Performance_Data[[#This Row],[Shots]]&gt;0,Performance_Data[[#This Row],[Shots]]*90/Performance_Data[[#This Row],[Minutes_Played]],0)</f>
        <v>5.4</v>
      </c>
      <c r="T62" s="6">
        <f>IF(Performance_Data[[#This Row],[Successful_Dribbles]]&gt;0,Performance_Data[[#This Row],[Successful_Dribbles]]*90/Performance_Data[[#This Row],[Minutes_Played]],0)</f>
        <v>7.2</v>
      </c>
      <c r="U62" s="5">
        <f>IF(Performance_Data[[#This Row],[Duels_Won]]&gt;0,Performance_Data[[#This Row],[Duels_Won]]*90/Performance_Data[[#This Row],[Minutes_Played]],0)</f>
        <v>7.2</v>
      </c>
      <c r="V62" s="5" t="str">
        <f t="shared" si="8"/>
        <v/>
      </c>
      <c r="W62" s="5" t="str">
        <f t="shared" si="9"/>
        <v/>
      </c>
      <c r="X62" s="5" t="str">
        <f t="shared" si="10"/>
        <v/>
      </c>
      <c r="Y62" s="5" t="str">
        <f t="shared" si="11"/>
        <v/>
      </c>
      <c r="Z62" s="5" t="str">
        <f t="shared" si="12"/>
        <v/>
      </c>
      <c r="AA62" s="5" t="str">
        <f t="shared" si="13"/>
        <v/>
      </c>
    </row>
    <row r="63" spans="1:27" x14ac:dyDescent="0.3">
      <c r="A63" s="3" t="s">
        <v>106</v>
      </c>
      <c r="B63" s="9" t="s">
        <v>24</v>
      </c>
      <c r="C63" s="3" t="s">
        <v>25</v>
      </c>
      <c r="D63">
        <v>18</v>
      </c>
      <c r="E63" s="3" t="s">
        <v>26</v>
      </c>
      <c r="F63" s="8">
        <v>45719</v>
      </c>
      <c r="G63">
        <v>71</v>
      </c>
      <c r="H63">
        <v>0</v>
      </c>
      <c r="I63">
        <v>1</v>
      </c>
      <c r="J63">
        <v>4</v>
      </c>
      <c r="K63">
        <v>6</v>
      </c>
      <c r="L63">
        <v>8</v>
      </c>
      <c r="M63">
        <v>9</v>
      </c>
      <c r="N63">
        <v>68</v>
      </c>
      <c r="O63">
        <v>9</v>
      </c>
      <c r="P63" s="5">
        <f t="shared" si="7"/>
        <v>0</v>
      </c>
      <c r="Q63" s="5">
        <f>IF(Performance_Data[[#This Row],[Minutes_Played]]&gt;0,Performance_Data[[#This Row],[Assists]]*90/Performance_Data[[#This Row],[Minutes_Played]], 0)</f>
        <v>1.267605633802817</v>
      </c>
      <c r="R63" s="5">
        <f>IF(Performance_Data[[#This Row],[Key_Passes]]&gt;0,Performance_Data[[#This Row],[Key_Passes]]*90/Performance_Data[[#This Row],[Minutes_Played]],0)</f>
        <v>5.070422535211268</v>
      </c>
      <c r="S63" s="5">
        <f>IF(Performance_Data[[#This Row],[Shots]]&gt;0,Performance_Data[[#This Row],[Shots]]*90/Performance_Data[[#This Row],[Minutes_Played]],0)</f>
        <v>7.605633802816901</v>
      </c>
      <c r="T63" s="6">
        <f>IF(Performance_Data[[#This Row],[Successful_Dribbles]]&gt;0,Performance_Data[[#This Row],[Successful_Dribbles]]*90/Performance_Data[[#This Row],[Minutes_Played]],0)</f>
        <v>10.140845070422536</v>
      </c>
      <c r="U63" s="5">
        <f>IF(Performance_Data[[#This Row],[Duels_Won]]&gt;0,Performance_Data[[#This Row],[Duels_Won]]*90/Performance_Data[[#This Row],[Minutes_Played]],0)</f>
        <v>11.408450704225352</v>
      </c>
      <c r="V63" s="5" t="str">
        <f t="shared" si="8"/>
        <v/>
      </c>
      <c r="W63" s="5" t="str">
        <f t="shared" si="9"/>
        <v/>
      </c>
      <c r="X63" s="5" t="str">
        <f t="shared" si="10"/>
        <v/>
      </c>
      <c r="Y63" s="5" t="str">
        <f t="shared" si="11"/>
        <v/>
      </c>
      <c r="Z63" s="5" t="str">
        <f t="shared" si="12"/>
        <v/>
      </c>
      <c r="AA63" s="5" t="str">
        <f t="shared" si="13"/>
        <v/>
      </c>
    </row>
    <row r="64" spans="1:27" x14ac:dyDescent="0.3">
      <c r="A64" s="3" t="s">
        <v>107</v>
      </c>
      <c r="B64" s="9" t="s">
        <v>24</v>
      </c>
      <c r="C64" s="3" t="s">
        <v>25</v>
      </c>
      <c r="D64">
        <v>18</v>
      </c>
      <c r="E64" s="3" t="s">
        <v>26</v>
      </c>
      <c r="F64" s="8">
        <v>45720</v>
      </c>
      <c r="G64">
        <v>88</v>
      </c>
      <c r="H64">
        <v>1</v>
      </c>
      <c r="I64">
        <v>2</v>
      </c>
      <c r="J64">
        <v>5</v>
      </c>
      <c r="K64">
        <v>3</v>
      </c>
      <c r="L64">
        <v>7</v>
      </c>
      <c r="M64">
        <v>12</v>
      </c>
      <c r="N64">
        <v>77</v>
      </c>
      <c r="O64">
        <v>8.6999999999999993</v>
      </c>
      <c r="P64" s="5">
        <f t="shared" si="7"/>
        <v>1.0227272727272727</v>
      </c>
      <c r="Q64" s="5">
        <f>IF(Performance_Data[[#This Row],[Minutes_Played]]&gt;0,Performance_Data[[#This Row],[Assists]]*90/Performance_Data[[#This Row],[Minutes_Played]], 0)</f>
        <v>2.0454545454545454</v>
      </c>
      <c r="R64" s="5">
        <f>IF(Performance_Data[[#This Row],[Key_Passes]]&gt;0,Performance_Data[[#This Row],[Key_Passes]]*90/Performance_Data[[#This Row],[Minutes_Played]],0)</f>
        <v>5.1136363636363633</v>
      </c>
      <c r="S64" s="5">
        <f>IF(Performance_Data[[#This Row],[Shots]]&gt;0,Performance_Data[[#This Row],[Shots]]*90/Performance_Data[[#This Row],[Minutes_Played]],0)</f>
        <v>3.0681818181818183</v>
      </c>
      <c r="T64" s="6">
        <f>IF(Performance_Data[[#This Row],[Successful_Dribbles]]&gt;0,Performance_Data[[#This Row],[Successful_Dribbles]]*90/Performance_Data[[#This Row],[Minutes_Played]],0)</f>
        <v>7.1590909090909092</v>
      </c>
      <c r="U64" s="5">
        <f>IF(Performance_Data[[#This Row],[Duels_Won]]&gt;0,Performance_Data[[#This Row],[Duels_Won]]*90/Performance_Data[[#This Row],[Minutes_Played]],0)</f>
        <v>12.272727272727273</v>
      </c>
      <c r="V64" s="5" t="str">
        <f t="shared" si="8"/>
        <v/>
      </c>
      <c r="W64" s="5" t="str">
        <f t="shared" si="9"/>
        <v/>
      </c>
      <c r="X64" s="5" t="str">
        <f t="shared" si="10"/>
        <v/>
      </c>
      <c r="Y64" s="5" t="str">
        <f t="shared" si="11"/>
        <v/>
      </c>
      <c r="Z64" s="5" t="str">
        <f t="shared" si="12"/>
        <v/>
      </c>
      <c r="AA64" s="5" t="str">
        <f t="shared" si="13"/>
        <v/>
      </c>
    </row>
    <row r="65" spans="1:27" x14ac:dyDescent="0.3">
      <c r="A65" s="3" t="s">
        <v>108</v>
      </c>
      <c r="B65" s="9" t="s">
        <v>24</v>
      </c>
      <c r="C65" s="3" t="s">
        <v>25</v>
      </c>
      <c r="D65">
        <v>18</v>
      </c>
      <c r="E65" s="3" t="s">
        <v>26</v>
      </c>
      <c r="F65" s="8">
        <v>45721</v>
      </c>
      <c r="G65">
        <v>76</v>
      </c>
      <c r="H65">
        <v>0</v>
      </c>
      <c r="I65">
        <v>0</v>
      </c>
      <c r="J65">
        <v>5</v>
      </c>
      <c r="K65">
        <v>5</v>
      </c>
      <c r="L65">
        <v>6</v>
      </c>
      <c r="M65">
        <v>12</v>
      </c>
      <c r="N65">
        <v>69</v>
      </c>
      <c r="O65">
        <v>11.9</v>
      </c>
      <c r="P65" s="5">
        <f t="shared" si="7"/>
        <v>0</v>
      </c>
      <c r="Q65" s="5">
        <f>IF(Performance_Data[[#This Row],[Minutes_Played]]&gt;0,Performance_Data[[#This Row],[Assists]]*90/Performance_Data[[#This Row],[Minutes_Played]], 0)</f>
        <v>0</v>
      </c>
      <c r="R65" s="5">
        <f>IF(Performance_Data[[#This Row],[Key_Passes]]&gt;0,Performance_Data[[#This Row],[Key_Passes]]*90/Performance_Data[[#This Row],[Minutes_Played]],0)</f>
        <v>5.9210526315789478</v>
      </c>
      <c r="S65" s="5">
        <f>IF(Performance_Data[[#This Row],[Shots]]&gt;0,Performance_Data[[#This Row],[Shots]]*90/Performance_Data[[#This Row],[Minutes_Played]],0)</f>
        <v>5.9210526315789478</v>
      </c>
      <c r="T65" s="6">
        <f>IF(Performance_Data[[#This Row],[Successful_Dribbles]]&gt;0,Performance_Data[[#This Row],[Successful_Dribbles]]*90/Performance_Data[[#This Row],[Minutes_Played]],0)</f>
        <v>7.1052631578947372</v>
      </c>
      <c r="U65" s="5">
        <f>IF(Performance_Data[[#This Row],[Duels_Won]]&gt;0,Performance_Data[[#This Row],[Duels_Won]]*90/Performance_Data[[#This Row],[Minutes_Played]],0)</f>
        <v>14.210526315789474</v>
      </c>
      <c r="V65" s="5" t="str">
        <f t="shared" si="8"/>
        <v/>
      </c>
      <c r="W65" s="5" t="str">
        <f t="shared" si="9"/>
        <v/>
      </c>
      <c r="X65" s="5" t="str">
        <f t="shared" si="10"/>
        <v/>
      </c>
      <c r="Y65" s="5" t="str">
        <f t="shared" si="11"/>
        <v/>
      </c>
      <c r="Z65" s="5" t="str">
        <f t="shared" si="12"/>
        <v/>
      </c>
      <c r="AA65" s="5" t="str">
        <f t="shared" si="13"/>
        <v/>
      </c>
    </row>
    <row r="66" spans="1:27" x14ac:dyDescent="0.3">
      <c r="A66" s="3" t="s">
        <v>109</v>
      </c>
      <c r="B66" s="9" t="s">
        <v>24</v>
      </c>
      <c r="C66" s="3" t="s">
        <v>25</v>
      </c>
      <c r="D66">
        <v>18</v>
      </c>
      <c r="E66" s="3" t="s">
        <v>26</v>
      </c>
      <c r="F66" s="8">
        <v>45722</v>
      </c>
      <c r="G66">
        <v>82</v>
      </c>
      <c r="H66">
        <v>1</v>
      </c>
      <c r="I66">
        <v>2</v>
      </c>
      <c r="J66">
        <v>0</v>
      </c>
      <c r="K66">
        <v>2</v>
      </c>
      <c r="L66">
        <v>4</v>
      </c>
      <c r="M66">
        <v>3</v>
      </c>
      <c r="N66">
        <v>67</v>
      </c>
      <c r="O66">
        <v>11.6</v>
      </c>
      <c r="P66" s="5">
        <f t="shared" ref="P66:P97" si="14">IF(G66&gt;0, H66*90/G66,0)</f>
        <v>1.0975609756097562</v>
      </c>
      <c r="Q66" s="5">
        <f>IF(Performance_Data[[#This Row],[Minutes_Played]]&gt;0,Performance_Data[[#This Row],[Assists]]*90/Performance_Data[[#This Row],[Minutes_Played]], 0)</f>
        <v>2.1951219512195124</v>
      </c>
      <c r="R66" s="5">
        <f>IF(Performance_Data[[#This Row],[Key_Passes]]&gt;0,Performance_Data[[#This Row],[Key_Passes]]*90/Performance_Data[[#This Row],[Minutes_Played]],0)</f>
        <v>0</v>
      </c>
      <c r="S66" s="5">
        <f>IF(Performance_Data[[#This Row],[Shots]]&gt;0,Performance_Data[[#This Row],[Shots]]*90/Performance_Data[[#This Row],[Minutes_Played]],0)</f>
        <v>2.1951219512195124</v>
      </c>
      <c r="T66" s="6">
        <f>IF(Performance_Data[[#This Row],[Successful_Dribbles]]&gt;0,Performance_Data[[#This Row],[Successful_Dribbles]]*90/Performance_Data[[#This Row],[Minutes_Played]],0)</f>
        <v>4.3902439024390247</v>
      </c>
      <c r="U66" s="5">
        <f>IF(Performance_Data[[#This Row],[Duels_Won]]&gt;0,Performance_Data[[#This Row],[Duels_Won]]*90/Performance_Data[[#This Row],[Minutes_Played]],0)</f>
        <v>3.2926829268292681</v>
      </c>
      <c r="V66" s="5">
        <f t="shared" si="8"/>
        <v>0.78405764966740576</v>
      </c>
      <c r="W66" s="5">
        <f t="shared" si="9"/>
        <v>1.101636426095375</v>
      </c>
      <c r="X66" s="5">
        <f t="shared" si="10"/>
        <v>3.2210223060853158</v>
      </c>
      <c r="Y66" s="5">
        <f t="shared" si="11"/>
        <v>4.8379980407594365</v>
      </c>
      <c r="Z66" s="5">
        <f t="shared" si="12"/>
        <v>7.1990886079694407</v>
      </c>
      <c r="AA66" s="5">
        <f t="shared" si="13"/>
        <v>9.6768774439142735</v>
      </c>
    </row>
    <row r="67" spans="1:27" x14ac:dyDescent="0.3">
      <c r="A67" s="3" t="s">
        <v>110</v>
      </c>
      <c r="B67" s="9" t="s">
        <v>24</v>
      </c>
      <c r="C67" s="3" t="s">
        <v>25</v>
      </c>
      <c r="D67">
        <v>18</v>
      </c>
      <c r="E67" s="3" t="s">
        <v>26</v>
      </c>
      <c r="F67" s="8">
        <v>45723</v>
      </c>
      <c r="G67">
        <v>61</v>
      </c>
      <c r="H67">
        <v>1</v>
      </c>
      <c r="I67">
        <v>0</v>
      </c>
      <c r="J67">
        <v>1</v>
      </c>
      <c r="K67">
        <v>6</v>
      </c>
      <c r="L67">
        <v>3</v>
      </c>
      <c r="M67">
        <v>3</v>
      </c>
      <c r="N67">
        <v>71</v>
      </c>
      <c r="O67">
        <v>9.1999999999999993</v>
      </c>
      <c r="P67" s="5">
        <f t="shared" si="14"/>
        <v>1.4754098360655739</v>
      </c>
      <c r="Q67" s="5">
        <f>IF(Performance_Data[[#This Row],[Minutes_Played]]&gt;0,Performance_Data[[#This Row],[Assists]]*90/Performance_Data[[#This Row],[Minutes_Played]], 0)</f>
        <v>0</v>
      </c>
      <c r="R67" s="5">
        <f>IF(Performance_Data[[#This Row],[Key_Passes]]&gt;0,Performance_Data[[#This Row],[Key_Passes]]*90/Performance_Data[[#This Row],[Minutes_Played]],0)</f>
        <v>1.4754098360655739</v>
      </c>
      <c r="S67" s="5">
        <f>IF(Performance_Data[[#This Row],[Shots]]&gt;0,Performance_Data[[#This Row],[Shots]]*90/Performance_Data[[#This Row],[Minutes_Played]],0)</f>
        <v>8.8524590163934427</v>
      </c>
      <c r="T67" s="6">
        <f>IF(Performance_Data[[#This Row],[Successful_Dribbles]]&gt;0,Performance_Data[[#This Row],[Successful_Dribbles]]*90/Performance_Data[[#This Row],[Minutes_Played]],0)</f>
        <v>4.4262295081967213</v>
      </c>
      <c r="U67" s="5">
        <f>IF(Performance_Data[[#This Row],[Duels_Won]]&gt;0,Performance_Data[[#This Row],[Duels_Won]]*90/Performance_Data[[#This Row],[Minutes_Played]],0)</f>
        <v>4.4262295081967213</v>
      </c>
      <c r="V67" s="5">
        <f t="shared" si="8"/>
        <v>0.71913961688052053</v>
      </c>
      <c r="W67" s="5">
        <f t="shared" si="9"/>
        <v>1.101636426095375</v>
      </c>
      <c r="X67" s="5">
        <f t="shared" si="10"/>
        <v>3.5161042732984304</v>
      </c>
      <c r="Y67" s="5">
        <f t="shared" si="11"/>
        <v>5.5284898440381252</v>
      </c>
      <c r="Z67" s="5">
        <f t="shared" si="12"/>
        <v>6.6443345096087851</v>
      </c>
      <c r="AA67" s="5">
        <f t="shared" si="13"/>
        <v>9.1221233455536161</v>
      </c>
    </row>
    <row r="68" spans="1:27" x14ac:dyDescent="0.3">
      <c r="A68" s="3" t="s">
        <v>111</v>
      </c>
      <c r="B68" s="9" t="s">
        <v>24</v>
      </c>
      <c r="C68" s="3" t="s">
        <v>25</v>
      </c>
      <c r="D68">
        <v>18</v>
      </c>
      <c r="E68" s="3" t="s">
        <v>26</v>
      </c>
      <c r="F68" s="8">
        <v>45724</v>
      </c>
      <c r="G68">
        <v>48</v>
      </c>
      <c r="H68">
        <v>1</v>
      </c>
      <c r="I68">
        <v>1</v>
      </c>
      <c r="J68">
        <v>2</v>
      </c>
      <c r="K68">
        <v>3</v>
      </c>
      <c r="L68">
        <v>0</v>
      </c>
      <c r="M68">
        <v>3</v>
      </c>
      <c r="N68">
        <v>92</v>
      </c>
      <c r="O68">
        <v>8.6999999999999993</v>
      </c>
      <c r="P68" s="5">
        <f t="shared" si="14"/>
        <v>1.875</v>
      </c>
      <c r="Q68" s="5">
        <f>IF(Performance_Data[[#This Row],[Minutes_Played]]&gt;0,Performance_Data[[#This Row],[Assists]]*90/Performance_Data[[#This Row],[Minutes_Played]], 0)</f>
        <v>1.875</v>
      </c>
      <c r="R68" s="5">
        <f>IF(Performance_Data[[#This Row],[Key_Passes]]&gt;0,Performance_Data[[#This Row],[Key_Passes]]*90/Performance_Data[[#This Row],[Minutes_Played]],0)</f>
        <v>3.75</v>
      </c>
      <c r="S68" s="5">
        <f>IF(Performance_Data[[#This Row],[Shots]]&gt;0,Performance_Data[[#This Row],[Shots]]*90/Performance_Data[[#This Row],[Minutes_Played]],0)</f>
        <v>5.625</v>
      </c>
      <c r="T68" s="6">
        <f>IF(Performance_Data[[#This Row],[Successful_Dribbles]]&gt;0,Performance_Data[[#This Row],[Successful_Dribbles]]*90/Performance_Data[[#This Row],[Minutes_Played]],0)</f>
        <v>0</v>
      </c>
      <c r="U68" s="5">
        <f>IF(Performance_Data[[#This Row],[Duels_Won]]&gt;0,Performance_Data[[#This Row],[Duels_Won]]*90/Performance_Data[[#This Row],[Minutes_Played]],0)</f>
        <v>5.625</v>
      </c>
      <c r="V68" s="5">
        <f t="shared" si="8"/>
        <v>1.0941396168805206</v>
      </c>
      <c r="W68" s="5">
        <f t="shared" si="9"/>
        <v>1.2231152993348116</v>
      </c>
      <c r="X68" s="5">
        <f t="shared" si="10"/>
        <v>3.2520197662561769</v>
      </c>
      <c r="Y68" s="5">
        <f t="shared" si="11"/>
        <v>5.1323630834747442</v>
      </c>
      <c r="Z68" s="5">
        <f t="shared" si="12"/>
        <v>4.6161654955242781</v>
      </c>
      <c r="AA68" s="5">
        <f t="shared" si="13"/>
        <v>7.9654332047085479</v>
      </c>
    </row>
    <row r="69" spans="1:27" x14ac:dyDescent="0.3">
      <c r="A69" s="3" t="s">
        <v>112</v>
      </c>
      <c r="B69" s="9" t="s">
        <v>24</v>
      </c>
      <c r="C69" s="3" t="s">
        <v>25</v>
      </c>
      <c r="D69">
        <v>18</v>
      </c>
      <c r="E69" s="3" t="s">
        <v>26</v>
      </c>
      <c r="F69" s="8">
        <v>45725</v>
      </c>
      <c r="G69">
        <v>64</v>
      </c>
      <c r="H69">
        <v>2</v>
      </c>
      <c r="I69">
        <v>0</v>
      </c>
      <c r="J69">
        <v>5</v>
      </c>
      <c r="K69">
        <v>6</v>
      </c>
      <c r="L69">
        <v>6</v>
      </c>
      <c r="M69">
        <v>1</v>
      </c>
      <c r="N69">
        <v>67</v>
      </c>
      <c r="O69">
        <v>11.3</v>
      </c>
      <c r="P69" s="5">
        <f t="shared" si="14"/>
        <v>2.8125</v>
      </c>
      <c r="Q69" s="5">
        <f>IF(Performance_Data[[#This Row],[Minutes_Played]]&gt;0,Performance_Data[[#This Row],[Assists]]*90/Performance_Data[[#This Row],[Minutes_Played]], 0)</f>
        <v>0</v>
      </c>
      <c r="R69" s="5">
        <f>IF(Performance_Data[[#This Row],[Key_Passes]]&gt;0,Performance_Data[[#This Row],[Key_Passes]]*90/Performance_Data[[#This Row],[Minutes_Played]],0)</f>
        <v>7.03125</v>
      </c>
      <c r="S69" s="5">
        <f>IF(Performance_Data[[#This Row],[Shots]]&gt;0,Performance_Data[[#This Row],[Shots]]*90/Performance_Data[[#This Row],[Minutes_Played]],0)</f>
        <v>8.4375</v>
      </c>
      <c r="T69" s="6">
        <f>IF(Performance_Data[[#This Row],[Successful_Dribbles]]&gt;0,Performance_Data[[#This Row],[Successful_Dribbles]]*90/Performance_Data[[#This Row],[Minutes_Played]],0)</f>
        <v>8.4375</v>
      </c>
      <c r="U69" s="5">
        <f>IF(Performance_Data[[#This Row],[Duels_Won]]&gt;0,Performance_Data[[#This Row],[Duels_Won]]*90/Performance_Data[[#This Row],[Minutes_Played]],0)</f>
        <v>1.40625</v>
      </c>
      <c r="V69" s="5">
        <f t="shared" si="8"/>
        <v>1.4520941623350661</v>
      </c>
      <c r="W69" s="5">
        <f t="shared" si="9"/>
        <v>0.8140243902439025</v>
      </c>
      <c r="X69" s="5">
        <f t="shared" si="10"/>
        <v>3.6355424935289045</v>
      </c>
      <c r="Y69" s="5">
        <f t="shared" si="11"/>
        <v>6.2062267198383809</v>
      </c>
      <c r="Z69" s="5">
        <f t="shared" si="12"/>
        <v>4.8718473137060965</v>
      </c>
      <c r="AA69" s="5">
        <f t="shared" si="13"/>
        <v>5.7921377501630928</v>
      </c>
    </row>
    <row r="70" spans="1:27" x14ac:dyDescent="0.3">
      <c r="A70" s="3" t="s">
        <v>113</v>
      </c>
      <c r="B70" s="9" t="s">
        <v>24</v>
      </c>
      <c r="C70" s="3" t="s">
        <v>25</v>
      </c>
      <c r="D70">
        <v>18</v>
      </c>
      <c r="E70" s="3" t="s">
        <v>26</v>
      </c>
      <c r="F70" s="8">
        <v>45726</v>
      </c>
      <c r="G70">
        <v>81</v>
      </c>
      <c r="H70">
        <v>2</v>
      </c>
      <c r="I70">
        <v>2</v>
      </c>
      <c r="J70">
        <v>1</v>
      </c>
      <c r="K70">
        <v>2</v>
      </c>
      <c r="L70">
        <v>1</v>
      </c>
      <c r="M70">
        <v>0</v>
      </c>
      <c r="N70">
        <v>90</v>
      </c>
      <c r="O70">
        <v>9.4</v>
      </c>
      <c r="P70" s="5">
        <f t="shared" si="14"/>
        <v>2.2222222222222223</v>
      </c>
      <c r="Q70" s="5">
        <f>IF(Performance_Data[[#This Row],[Minutes_Played]]&gt;0,Performance_Data[[#This Row],[Assists]]*90/Performance_Data[[#This Row],[Minutes_Played]], 0)</f>
        <v>2.2222222222222223</v>
      </c>
      <c r="R70" s="5">
        <f>IF(Performance_Data[[#This Row],[Key_Passes]]&gt;0,Performance_Data[[#This Row],[Key_Passes]]*90/Performance_Data[[#This Row],[Minutes_Played]],0)</f>
        <v>1.1111111111111112</v>
      </c>
      <c r="S70" s="5">
        <f>IF(Performance_Data[[#This Row],[Shots]]&gt;0,Performance_Data[[#This Row],[Shots]]*90/Performance_Data[[#This Row],[Minutes_Played]],0)</f>
        <v>2.2222222222222223</v>
      </c>
      <c r="T70" s="6">
        <f>IF(Performance_Data[[#This Row],[Successful_Dribbles]]&gt;0,Performance_Data[[#This Row],[Successful_Dribbles]]*90/Performance_Data[[#This Row],[Minutes_Played]],0)</f>
        <v>1.1111111111111112</v>
      </c>
      <c r="U70" s="5">
        <f>IF(Performance_Data[[#This Row],[Duels_Won]]&gt;0,Performance_Data[[#This Row],[Duels_Won]]*90/Performance_Data[[#This Row],[Minutes_Played]],0)</f>
        <v>0</v>
      </c>
      <c r="V70" s="5">
        <f t="shared" ref="V70:V101" si="15">IF(COUNTIF(B66:B70,B70)=5, AVERAGE(P66:P70), "")</f>
        <v>1.8965386067795105</v>
      </c>
      <c r="W70" s="5">
        <f t="shared" ref="W70:W101" si="16">IF(COUNTIF(B66:B70,B70)=5, AVERAGE(Q66:Q70), "")</f>
        <v>1.258468834688347</v>
      </c>
      <c r="X70" s="5">
        <f t="shared" ref="X70:X101" si="17">IF(COUNTIF(B66:B70,B70)=5, AVERAGE(R66:R70), "")</f>
        <v>2.673554189435337</v>
      </c>
      <c r="Y70" s="5">
        <f t="shared" ref="Y70:Y101" si="18">IF(COUNTIF(B66:B70,B70)=5, AVERAGE(S66:S70), "")</f>
        <v>5.4664606379670353</v>
      </c>
      <c r="Z70" s="5">
        <f t="shared" ref="Z70:Z101" si="19">IF(COUNTIF(B66:B70,B70)=5,AVERAGE(T66:T70),"")</f>
        <v>3.673016904349371</v>
      </c>
      <c r="AA70" s="5">
        <f t="shared" ref="AA70:AA101" si="20">IF(COUNTIF(B66:B70,B70)=5,AVERAGE(U66:U70),"")</f>
        <v>2.9500324870051982</v>
      </c>
    </row>
    <row r="71" spans="1:27" x14ac:dyDescent="0.3">
      <c r="A71" s="3" t="s">
        <v>114</v>
      </c>
      <c r="B71" s="9" t="s">
        <v>24</v>
      </c>
      <c r="C71" s="3" t="s">
        <v>25</v>
      </c>
      <c r="D71">
        <v>18</v>
      </c>
      <c r="E71" s="3" t="s">
        <v>26</v>
      </c>
      <c r="F71" s="8">
        <v>45727</v>
      </c>
      <c r="G71">
        <v>88</v>
      </c>
      <c r="H71">
        <v>2</v>
      </c>
      <c r="I71">
        <v>0</v>
      </c>
      <c r="J71">
        <v>0</v>
      </c>
      <c r="K71">
        <v>3</v>
      </c>
      <c r="L71">
        <v>1</v>
      </c>
      <c r="M71">
        <v>5</v>
      </c>
      <c r="N71">
        <v>70</v>
      </c>
      <c r="O71">
        <v>10.4</v>
      </c>
      <c r="P71" s="5">
        <f t="shared" si="14"/>
        <v>2.0454545454545454</v>
      </c>
      <c r="Q71" s="5">
        <f>IF(Performance_Data[[#This Row],[Minutes_Played]]&gt;0,Performance_Data[[#This Row],[Assists]]*90/Performance_Data[[#This Row],[Minutes_Played]], 0)</f>
        <v>0</v>
      </c>
      <c r="R71" s="5">
        <f>IF(Performance_Data[[#This Row],[Key_Passes]]&gt;0,Performance_Data[[#This Row],[Key_Passes]]*90/Performance_Data[[#This Row],[Minutes_Played]],0)</f>
        <v>0</v>
      </c>
      <c r="S71" s="5">
        <f>IF(Performance_Data[[#This Row],[Shots]]&gt;0,Performance_Data[[#This Row],[Shots]]*90/Performance_Data[[#This Row],[Minutes_Played]],0)</f>
        <v>3.0681818181818183</v>
      </c>
      <c r="T71" s="6">
        <f>IF(Performance_Data[[#This Row],[Successful_Dribbles]]&gt;0,Performance_Data[[#This Row],[Successful_Dribbles]]*90/Performance_Data[[#This Row],[Minutes_Played]],0)</f>
        <v>1.0227272727272727</v>
      </c>
      <c r="U71" s="5">
        <f>IF(Performance_Data[[#This Row],[Duels_Won]]&gt;0,Performance_Data[[#This Row],[Duels_Won]]*90/Performance_Data[[#This Row],[Minutes_Played]],0)</f>
        <v>5.1136363636363633</v>
      </c>
      <c r="V71" s="5">
        <f t="shared" si="15"/>
        <v>2.0861173207484685</v>
      </c>
      <c r="W71" s="5">
        <f t="shared" si="16"/>
        <v>0.81944444444444442</v>
      </c>
      <c r="X71" s="5">
        <f t="shared" si="17"/>
        <v>2.673554189435337</v>
      </c>
      <c r="Y71" s="5">
        <f t="shared" si="18"/>
        <v>5.6410726113594958</v>
      </c>
      <c r="Z71" s="5">
        <f t="shared" si="19"/>
        <v>2.9995135784070213</v>
      </c>
      <c r="AA71" s="5">
        <f t="shared" si="20"/>
        <v>3.3142231743666173</v>
      </c>
    </row>
    <row r="72" spans="1:27" x14ac:dyDescent="0.3">
      <c r="A72" s="3" t="s">
        <v>115</v>
      </c>
      <c r="B72" s="9" t="s">
        <v>24</v>
      </c>
      <c r="C72" s="3" t="s">
        <v>25</v>
      </c>
      <c r="D72">
        <v>18</v>
      </c>
      <c r="E72" s="3" t="s">
        <v>26</v>
      </c>
      <c r="F72" s="8">
        <v>45728</v>
      </c>
      <c r="G72">
        <v>67</v>
      </c>
      <c r="H72">
        <v>2</v>
      </c>
      <c r="I72">
        <v>1</v>
      </c>
      <c r="J72">
        <v>2</v>
      </c>
      <c r="K72">
        <v>3</v>
      </c>
      <c r="L72">
        <v>0</v>
      </c>
      <c r="M72">
        <v>3</v>
      </c>
      <c r="N72">
        <v>66</v>
      </c>
      <c r="O72">
        <v>9.1999999999999993</v>
      </c>
      <c r="P72" s="5">
        <f t="shared" si="14"/>
        <v>2.6865671641791047</v>
      </c>
      <c r="Q72" s="5">
        <f>IF(Performance_Data[[#This Row],[Minutes_Played]]&gt;0,Performance_Data[[#This Row],[Assists]]*90/Performance_Data[[#This Row],[Minutes_Played]], 0)</f>
        <v>1.3432835820895523</v>
      </c>
      <c r="R72" s="5">
        <f>IF(Performance_Data[[#This Row],[Key_Passes]]&gt;0,Performance_Data[[#This Row],[Key_Passes]]*90/Performance_Data[[#This Row],[Minutes_Played]],0)</f>
        <v>2.6865671641791047</v>
      </c>
      <c r="S72" s="5">
        <f>IF(Performance_Data[[#This Row],[Shots]]&gt;0,Performance_Data[[#This Row],[Shots]]*90/Performance_Data[[#This Row],[Minutes_Played]],0)</f>
        <v>4.0298507462686564</v>
      </c>
      <c r="T72" s="6">
        <f>IF(Performance_Data[[#This Row],[Successful_Dribbles]]&gt;0,Performance_Data[[#This Row],[Successful_Dribbles]]*90/Performance_Data[[#This Row],[Minutes_Played]],0)</f>
        <v>0</v>
      </c>
      <c r="U72" s="5">
        <f>IF(Performance_Data[[#This Row],[Duels_Won]]&gt;0,Performance_Data[[#This Row],[Duels_Won]]*90/Performance_Data[[#This Row],[Minutes_Played]],0)</f>
        <v>4.0298507462686564</v>
      </c>
      <c r="V72" s="5">
        <f t="shared" si="15"/>
        <v>2.3283487863711745</v>
      </c>
      <c r="W72" s="5">
        <f t="shared" si="16"/>
        <v>1.088101160862355</v>
      </c>
      <c r="X72" s="5">
        <f t="shared" si="17"/>
        <v>2.915785655058043</v>
      </c>
      <c r="Y72" s="5">
        <f t="shared" si="18"/>
        <v>4.6765509573345394</v>
      </c>
      <c r="Z72" s="5">
        <f t="shared" si="19"/>
        <v>2.1142676767676769</v>
      </c>
      <c r="AA72" s="5">
        <f t="shared" si="20"/>
        <v>3.2349474219810039</v>
      </c>
    </row>
    <row r="73" spans="1:27" x14ac:dyDescent="0.3">
      <c r="A73" s="3" t="s">
        <v>116</v>
      </c>
      <c r="B73" s="9" t="s">
        <v>24</v>
      </c>
      <c r="C73" s="3" t="s">
        <v>25</v>
      </c>
      <c r="D73">
        <v>18</v>
      </c>
      <c r="E73" s="3" t="s">
        <v>26</v>
      </c>
      <c r="F73" s="8">
        <v>45729</v>
      </c>
      <c r="G73">
        <v>50</v>
      </c>
      <c r="H73">
        <v>2</v>
      </c>
      <c r="I73">
        <v>0</v>
      </c>
      <c r="J73">
        <v>1</v>
      </c>
      <c r="K73">
        <v>5</v>
      </c>
      <c r="L73">
        <v>1</v>
      </c>
      <c r="M73">
        <v>11</v>
      </c>
      <c r="N73">
        <v>82</v>
      </c>
      <c r="O73">
        <v>10.1</v>
      </c>
      <c r="P73" s="5">
        <f t="shared" si="14"/>
        <v>3.6</v>
      </c>
      <c r="Q73" s="5">
        <f>IF(Performance_Data[[#This Row],[Minutes_Played]]&gt;0,Performance_Data[[#This Row],[Assists]]*90/Performance_Data[[#This Row],[Minutes_Played]], 0)</f>
        <v>0</v>
      </c>
      <c r="R73" s="5">
        <f>IF(Performance_Data[[#This Row],[Key_Passes]]&gt;0,Performance_Data[[#This Row],[Key_Passes]]*90/Performance_Data[[#This Row],[Minutes_Played]],0)</f>
        <v>1.8</v>
      </c>
      <c r="S73" s="5">
        <f>IF(Performance_Data[[#This Row],[Shots]]&gt;0,Performance_Data[[#This Row],[Shots]]*90/Performance_Data[[#This Row],[Minutes_Played]],0)</f>
        <v>9</v>
      </c>
      <c r="T73" s="6">
        <f>IF(Performance_Data[[#This Row],[Successful_Dribbles]]&gt;0,Performance_Data[[#This Row],[Successful_Dribbles]]*90/Performance_Data[[#This Row],[Minutes_Played]],0)</f>
        <v>1.8</v>
      </c>
      <c r="U73" s="5">
        <f>IF(Performance_Data[[#This Row],[Duels_Won]]&gt;0,Performance_Data[[#This Row],[Duels_Won]]*90/Performance_Data[[#This Row],[Minutes_Played]],0)</f>
        <v>19.8</v>
      </c>
      <c r="V73" s="5">
        <f t="shared" si="15"/>
        <v>2.6733487863711742</v>
      </c>
      <c r="W73" s="5">
        <f t="shared" si="16"/>
        <v>0.71310116086235487</v>
      </c>
      <c r="X73" s="5">
        <f t="shared" si="17"/>
        <v>2.5257856550580433</v>
      </c>
      <c r="Y73" s="5">
        <f t="shared" si="18"/>
        <v>5.3515509573345392</v>
      </c>
      <c r="Z73" s="5">
        <f t="shared" si="19"/>
        <v>2.4742676767676768</v>
      </c>
      <c r="AA73" s="5">
        <f t="shared" si="20"/>
        <v>6.0699474219810039</v>
      </c>
    </row>
    <row r="74" spans="1:27" x14ac:dyDescent="0.3">
      <c r="A74" s="3" t="s">
        <v>117</v>
      </c>
      <c r="B74" s="9" t="s">
        <v>24</v>
      </c>
      <c r="C74" s="3" t="s">
        <v>25</v>
      </c>
      <c r="D74">
        <v>18</v>
      </c>
      <c r="E74" s="3" t="s">
        <v>26</v>
      </c>
      <c r="F74" s="8">
        <v>45730</v>
      </c>
      <c r="G74">
        <v>66</v>
      </c>
      <c r="H74">
        <v>1</v>
      </c>
      <c r="I74">
        <v>1</v>
      </c>
      <c r="J74">
        <v>1</v>
      </c>
      <c r="K74">
        <v>3</v>
      </c>
      <c r="L74">
        <v>8</v>
      </c>
      <c r="M74">
        <v>1</v>
      </c>
      <c r="N74">
        <v>66</v>
      </c>
      <c r="O74">
        <v>9.8000000000000007</v>
      </c>
      <c r="P74" s="5">
        <f t="shared" si="14"/>
        <v>1.3636363636363635</v>
      </c>
      <c r="Q74" s="5">
        <f>IF(Performance_Data[[#This Row],[Minutes_Played]]&gt;0,Performance_Data[[#This Row],[Assists]]*90/Performance_Data[[#This Row],[Minutes_Played]], 0)</f>
        <v>1.3636363636363635</v>
      </c>
      <c r="R74" s="5">
        <f>IF(Performance_Data[[#This Row],[Key_Passes]]&gt;0,Performance_Data[[#This Row],[Key_Passes]]*90/Performance_Data[[#This Row],[Minutes_Played]],0)</f>
        <v>1.3636363636363635</v>
      </c>
      <c r="S74" s="5">
        <f>IF(Performance_Data[[#This Row],[Shots]]&gt;0,Performance_Data[[#This Row],[Shots]]*90/Performance_Data[[#This Row],[Minutes_Played]],0)</f>
        <v>4.0909090909090908</v>
      </c>
      <c r="T74" s="6">
        <f>IF(Performance_Data[[#This Row],[Successful_Dribbles]]&gt;0,Performance_Data[[#This Row],[Successful_Dribbles]]*90/Performance_Data[[#This Row],[Minutes_Played]],0)</f>
        <v>10.909090909090908</v>
      </c>
      <c r="U74" s="5">
        <f>IF(Performance_Data[[#This Row],[Duels_Won]]&gt;0,Performance_Data[[#This Row],[Duels_Won]]*90/Performance_Data[[#This Row],[Minutes_Played]],0)</f>
        <v>1.3636363636363635</v>
      </c>
      <c r="V74" s="5">
        <f t="shared" si="15"/>
        <v>2.3835760590984472</v>
      </c>
      <c r="W74" s="5">
        <f t="shared" si="16"/>
        <v>0.98582843358962757</v>
      </c>
      <c r="X74" s="5">
        <f t="shared" si="17"/>
        <v>1.3922629277853158</v>
      </c>
      <c r="Y74" s="5">
        <f t="shared" si="18"/>
        <v>4.4822327755163576</v>
      </c>
      <c r="Z74" s="5">
        <f t="shared" si="19"/>
        <v>2.9685858585858584</v>
      </c>
      <c r="AA74" s="5">
        <f t="shared" si="20"/>
        <v>6.0614246947082773</v>
      </c>
    </row>
    <row r="75" spans="1:27" x14ac:dyDescent="0.3">
      <c r="A75" s="3" t="s">
        <v>118</v>
      </c>
      <c r="B75" s="9" t="s">
        <v>24</v>
      </c>
      <c r="C75" s="3" t="s">
        <v>25</v>
      </c>
      <c r="D75">
        <v>18</v>
      </c>
      <c r="E75" s="3" t="s">
        <v>26</v>
      </c>
      <c r="F75" s="8">
        <v>45731</v>
      </c>
      <c r="G75">
        <v>35</v>
      </c>
      <c r="H75">
        <v>0</v>
      </c>
      <c r="I75">
        <v>1</v>
      </c>
      <c r="J75">
        <v>3</v>
      </c>
      <c r="K75">
        <v>6</v>
      </c>
      <c r="L75">
        <v>6</v>
      </c>
      <c r="M75">
        <v>0</v>
      </c>
      <c r="N75">
        <v>81</v>
      </c>
      <c r="O75">
        <v>8</v>
      </c>
      <c r="P75" s="5">
        <f t="shared" si="14"/>
        <v>0</v>
      </c>
      <c r="Q75" s="5">
        <f>IF(Performance_Data[[#This Row],[Minutes_Played]]&gt;0,Performance_Data[[#This Row],[Assists]]*90/Performance_Data[[#This Row],[Minutes_Played]], 0)</f>
        <v>2.5714285714285716</v>
      </c>
      <c r="R75" s="5">
        <f>IF(Performance_Data[[#This Row],[Key_Passes]]&gt;0,Performance_Data[[#This Row],[Key_Passes]]*90/Performance_Data[[#This Row],[Minutes_Played]],0)</f>
        <v>7.7142857142857144</v>
      </c>
      <c r="S75" s="5">
        <f>IF(Performance_Data[[#This Row],[Shots]]&gt;0,Performance_Data[[#This Row],[Shots]]*90/Performance_Data[[#This Row],[Minutes_Played]],0)</f>
        <v>15.428571428571429</v>
      </c>
      <c r="T75" s="6">
        <f>IF(Performance_Data[[#This Row],[Successful_Dribbles]]&gt;0,Performance_Data[[#This Row],[Successful_Dribbles]]*90/Performance_Data[[#This Row],[Minutes_Played]],0)</f>
        <v>15.428571428571429</v>
      </c>
      <c r="U75" s="5">
        <f>IF(Performance_Data[[#This Row],[Duels_Won]]&gt;0,Performance_Data[[#This Row],[Duels_Won]]*90/Performance_Data[[#This Row],[Minutes_Played]],0)</f>
        <v>0</v>
      </c>
      <c r="V75" s="5">
        <f t="shared" si="15"/>
        <v>1.9391316146540027</v>
      </c>
      <c r="W75" s="5">
        <f t="shared" si="16"/>
        <v>1.0556697034308975</v>
      </c>
      <c r="X75" s="5">
        <f t="shared" si="17"/>
        <v>2.7128978484202362</v>
      </c>
      <c r="Y75" s="5">
        <f t="shared" si="18"/>
        <v>7.1235026167861992</v>
      </c>
      <c r="Z75" s="5">
        <f t="shared" si="19"/>
        <v>5.8320779220779215</v>
      </c>
      <c r="AA75" s="5">
        <f t="shared" si="20"/>
        <v>6.0614246947082773</v>
      </c>
    </row>
    <row r="76" spans="1:27" x14ac:dyDescent="0.3">
      <c r="A76" s="3" t="s">
        <v>119</v>
      </c>
      <c r="B76" s="9" t="s">
        <v>24</v>
      </c>
      <c r="C76" s="3" t="s">
        <v>25</v>
      </c>
      <c r="D76">
        <v>18</v>
      </c>
      <c r="E76" s="3" t="s">
        <v>26</v>
      </c>
      <c r="F76" s="8">
        <v>45732</v>
      </c>
      <c r="G76">
        <v>38</v>
      </c>
      <c r="H76">
        <v>2</v>
      </c>
      <c r="I76">
        <v>2</v>
      </c>
      <c r="J76">
        <v>0</v>
      </c>
      <c r="K76">
        <v>2</v>
      </c>
      <c r="L76">
        <v>0</v>
      </c>
      <c r="M76">
        <v>3</v>
      </c>
      <c r="N76">
        <v>83</v>
      </c>
      <c r="O76">
        <v>9.8000000000000007</v>
      </c>
      <c r="P76" s="5">
        <f t="shared" si="14"/>
        <v>4.7368421052631575</v>
      </c>
      <c r="Q76" s="5">
        <f>IF(Performance_Data[[#This Row],[Minutes_Played]]&gt;0,Performance_Data[[#This Row],[Assists]]*90/Performance_Data[[#This Row],[Minutes_Played]], 0)</f>
        <v>4.7368421052631575</v>
      </c>
      <c r="R76" s="5">
        <f>IF(Performance_Data[[#This Row],[Key_Passes]]&gt;0,Performance_Data[[#This Row],[Key_Passes]]*90/Performance_Data[[#This Row],[Minutes_Played]],0)</f>
        <v>0</v>
      </c>
      <c r="S76" s="5">
        <f>IF(Performance_Data[[#This Row],[Shots]]&gt;0,Performance_Data[[#This Row],[Shots]]*90/Performance_Data[[#This Row],[Minutes_Played]],0)</f>
        <v>4.7368421052631575</v>
      </c>
      <c r="T76" s="6">
        <f>IF(Performance_Data[[#This Row],[Successful_Dribbles]]&gt;0,Performance_Data[[#This Row],[Successful_Dribbles]]*90/Performance_Data[[#This Row],[Minutes_Played]],0)</f>
        <v>0</v>
      </c>
      <c r="U76" s="5">
        <f>IF(Performance_Data[[#This Row],[Duels_Won]]&gt;0,Performance_Data[[#This Row],[Duels_Won]]*90/Performance_Data[[#This Row],[Minutes_Played]],0)</f>
        <v>7.1052631578947372</v>
      </c>
      <c r="V76" s="5">
        <f t="shared" si="15"/>
        <v>2.4774091266157248</v>
      </c>
      <c r="W76" s="5">
        <f t="shared" si="16"/>
        <v>2.0030381244835289</v>
      </c>
      <c r="X76" s="5">
        <f t="shared" si="17"/>
        <v>2.7128978484202362</v>
      </c>
      <c r="Y76" s="5">
        <f t="shared" si="18"/>
        <v>7.457234674202466</v>
      </c>
      <c r="Z76" s="5">
        <f t="shared" si="19"/>
        <v>5.6275324675324674</v>
      </c>
      <c r="AA76" s="5">
        <f t="shared" si="20"/>
        <v>6.4597500535599526</v>
      </c>
    </row>
    <row r="77" spans="1:27" x14ac:dyDescent="0.3">
      <c r="A77" s="3" t="s">
        <v>120</v>
      </c>
      <c r="B77" s="9" t="s">
        <v>24</v>
      </c>
      <c r="C77" s="3" t="s">
        <v>25</v>
      </c>
      <c r="D77">
        <v>18</v>
      </c>
      <c r="E77" s="3" t="s">
        <v>26</v>
      </c>
      <c r="F77" s="8">
        <v>45733</v>
      </c>
      <c r="G77">
        <v>72</v>
      </c>
      <c r="H77">
        <v>1</v>
      </c>
      <c r="I77">
        <v>0</v>
      </c>
      <c r="J77">
        <v>5</v>
      </c>
      <c r="K77">
        <v>1</v>
      </c>
      <c r="L77">
        <v>8</v>
      </c>
      <c r="M77">
        <v>0</v>
      </c>
      <c r="N77">
        <v>71</v>
      </c>
      <c r="O77">
        <v>8.8000000000000007</v>
      </c>
      <c r="P77" s="5">
        <f t="shared" si="14"/>
        <v>1.25</v>
      </c>
      <c r="Q77" s="5">
        <f>IF(Performance_Data[[#This Row],[Minutes_Played]]&gt;0,Performance_Data[[#This Row],[Assists]]*90/Performance_Data[[#This Row],[Minutes_Played]], 0)</f>
        <v>0</v>
      </c>
      <c r="R77" s="5">
        <f>IF(Performance_Data[[#This Row],[Key_Passes]]&gt;0,Performance_Data[[#This Row],[Key_Passes]]*90/Performance_Data[[#This Row],[Minutes_Played]],0)</f>
        <v>6.25</v>
      </c>
      <c r="S77" s="5">
        <f>IF(Performance_Data[[#This Row],[Shots]]&gt;0,Performance_Data[[#This Row],[Shots]]*90/Performance_Data[[#This Row],[Minutes_Played]],0)</f>
        <v>1.25</v>
      </c>
      <c r="T77" s="6">
        <f>IF(Performance_Data[[#This Row],[Successful_Dribbles]]&gt;0,Performance_Data[[#This Row],[Successful_Dribbles]]*90/Performance_Data[[#This Row],[Minutes_Played]],0)</f>
        <v>10</v>
      </c>
      <c r="U77" s="5">
        <f>IF(Performance_Data[[#This Row],[Duels_Won]]&gt;0,Performance_Data[[#This Row],[Duels_Won]]*90/Performance_Data[[#This Row],[Minutes_Played]],0)</f>
        <v>0</v>
      </c>
      <c r="V77" s="5">
        <f t="shared" si="15"/>
        <v>2.1900956937799045</v>
      </c>
      <c r="W77" s="5">
        <f t="shared" si="16"/>
        <v>1.7343814080656188</v>
      </c>
      <c r="X77" s="5">
        <f t="shared" si="17"/>
        <v>3.425584415584416</v>
      </c>
      <c r="Y77" s="5">
        <f t="shared" si="18"/>
        <v>6.9012645249487345</v>
      </c>
      <c r="Z77" s="5">
        <f t="shared" si="19"/>
        <v>7.6275324675324665</v>
      </c>
      <c r="AA77" s="5">
        <f t="shared" si="20"/>
        <v>5.6537799043062202</v>
      </c>
    </row>
    <row r="78" spans="1:27" x14ac:dyDescent="0.3">
      <c r="A78" s="3" t="s">
        <v>121</v>
      </c>
      <c r="B78" s="9" t="s">
        <v>24</v>
      </c>
      <c r="C78" s="3" t="s">
        <v>25</v>
      </c>
      <c r="D78">
        <v>18</v>
      </c>
      <c r="E78" s="3" t="s">
        <v>26</v>
      </c>
      <c r="F78" s="8">
        <v>45734</v>
      </c>
      <c r="G78">
        <v>65</v>
      </c>
      <c r="H78">
        <v>1</v>
      </c>
      <c r="I78">
        <v>0</v>
      </c>
      <c r="J78">
        <v>3</v>
      </c>
      <c r="K78">
        <v>5</v>
      </c>
      <c r="L78">
        <v>0</v>
      </c>
      <c r="M78">
        <v>6</v>
      </c>
      <c r="N78">
        <v>66</v>
      </c>
      <c r="O78">
        <v>8.9</v>
      </c>
      <c r="P78" s="5">
        <f t="shared" si="14"/>
        <v>1.3846153846153846</v>
      </c>
      <c r="Q78" s="5">
        <f>IF(Performance_Data[[#This Row],[Minutes_Played]]&gt;0,Performance_Data[[#This Row],[Assists]]*90/Performance_Data[[#This Row],[Minutes_Played]], 0)</f>
        <v>0</v>
      </c>
      <c r="R78" s="5">
        <f>IF(Performance_Data[[#This Row],[Key_Passes]]&gt;0,Performance_Data[[#This Row],[Key_Passes]]*90/Performance_Data[[#This Row],[Minutes_Played]],0)</f>
        <v>4.1538461538461542</v>
      </c>
      <c r="S78" s="5">
        <f>IF(Performance_Data[[#This Row],[Shots]]&gt;0,Performance_Data[[#This Row],[Shots]]*90/Performance_Data[[#This Row],[Minutes_Played]],0)</f>
        <v>6.9230769230769234</v>
      </c>
      <c r="T78" s="6">
        <f>IF(Performance_Data[[#This Row],[Successful_Dribbles]]&gt;0,Performance_Data[[#This Row],[Successful_Dribbles]]*90/Performance_Data[[#This Row],[Minutes_Played]],0)</f>
        <v>0</v>
      </c>
      <c r="U78" s="5">
        <f>IF(Performance_Data[[#This Row],[Duels_Won]]&gt;0,Performance_Data[[#This Row],[Duels_Won]]*90/Performance_Data[[#This Row],[Minutes_Played]],0)</f>
        <v>8.3076923076923084</v>
      </c>
      <c r="V78" s="5">
        <f t="shared" si="15"/>
        <v>1.7470187707029812</v>
      </c>
      <c r="W78" s="5">
        <f t="shared" si="16"/>
        <v>1.7343814080656188</v>
      </c>
      <c r="X78" s="5">
        <f t="shared" si="17"/>
        <v>3.8963536463536466</v>
      </c>
      <c r="Y78" s="5">
        <f t="shared" si="18"/>
        <v>6.4858799095641206</v>
      </c>
      <c r="Z78" s="5">
        <f t="shared" si="19"/>
        <v>7.2675324675324671</v>
      </c>
      <c r="AA78" s="5">
        <f t="shared" si="20"/>
        <v>3.3553183658446821</v>
      </c>
    </row>
    <row r="79" spans="1:27" x14ac:dyDescent="0.3">
      <c r="A79" s="3" t="s">
        <v>122</v>
      </c>
      <c r="B79" s="9" t="s">
        <v>24</v>
      </c>
      <c r="C79" s="3" t="s">
        <v>25</v>
      </c>
      <c r="D79">
        <v>18</v>
      </c>
      <c r="E79" s="3" t="s">
        <v>26</v>
      </c>
      <c r="F79" s="8">
        <v>45735</v>
      </c>
      <c r="G79">
        <v>70</v>
      </c>
      <c r="H79">
        <v>0</v>
      </c>
      <c r="I79">
        <v>0</v>
      </c>
      <c r="J79">
        <v>3</v>
      </c>
      <c r="K79">
        <v>4</v>
      </c>
      <c r="L79">
        <v>8</v>
      </c>
      <c r="M79">
        <v>11</v>
      </c>
      <c r="N79">
        <v>71</v>
      </c>
      <c r="O79">
        <v>10</v>
      </c>
      <c r="P79" s="5">
        <f t="shared" si="14"/>
        <v>0</v>
      </c>
      <c r="Q79" s="5">
        <f>IF(Performance_Data[[#This Row],[Minutes_Played]]&gt;0,Performance_Data[[#This Row],[Assists]]*90/Performance_Data[[#This Row],[Minutes_Played]], 0)</f>
        <v>0</v>
      </c>
      <c r="R79" s="5">
        <f>IF(Performance_Data[[#This Row],[Key_Passes]]&gt;0,Performance_Data[[#This Row],[Key_Passes]]*90/Performance_Data[[#This Row],[Minutes_Played]],0)</f>
        <v>3.8571428571428572</v>
      </c>
      <c r="S79" s="5">
        <f>IF(Performance_Data[[#This Row],[Shots]]&gt;0,Performance_Data[[#This Row],[Shots]]*90/Performance_Data[[#This Row],[Minutes_Played]],0)</f>
        <v>5.1428571428571432</v>
      </c>
      <c r="T79" s="6">
        <f>IF(Performance_Data[[#This Row],[Successful_Dribbles]]&gt;0,Performance_Data[[#This Row],[Successful_Dribbles]]*90/Performance_Data[[#This Row],[Minutes_Played]],0)</f>
        <v>10.285714285714286</v>
      </c>
      <c r="U79" s="5">
        <f>IF(Performance_Data[[#This Row],[Duels_Won]]&gt;0,Performance_Data[[#This Row],[Duels_Won]]*90/Performance_Data[[#This Row],[Minutes_Played]],0)</f>
        <v>14.142857142857142</v>
      </c>
      <c r="V79" s="5">
        <f t="shared" si="15"/>
        <v>1.4742914979757085</v>
      </c>
      <c r="W79" s="5">
        <f t="shared" si="16"/>
        <v>1.4616541353383457</v>
      </c>
      <c r="X79" s="5">
        <f t="shared" si="17"/>
        <v>4.3950549450549454</v>
      </c>
      <c r="Y79" s="5">
        <f t="shared" si="18"/>
        <v>6.6962695199537308</v>
      </c>
      <c r="Z79" s="5">
        <f t="shared" si="19"/>
        <v>7.1428571428571432</v>
      </c>
      <c r="AA79" s="5">
        <f t="shared" si="20"/>
        <v>5.9111625216888379</v>
      </c>
    </row>
    <row r="80" spans="1:27" x14ac:dyDescent="0.3">
      <c r="A80" s="3" t="s">
        <v>123</v>
      </c>
      <c r="B80" s="9" t="s">
        <v>24</v>
      </c>
      <c r="C80" s="3" t="s">
        <v>25</v>
      </c>
      <c r="D80">
        <v>18</v>
      </c>
      <c r="E80" s="3" t="s">
        <v>26</v>
      </c>
      <c r="F80" s="8">
        <v>45736</v>
      </c>
      <c r="G80">
        <v>73</v>
      </c>
      <c r="H80">
        <v>2</v>
      </c>
      <c r="I80">
        <v>2</v>
      </c>
      <c r="J80">
        <v>1</v>
      </c>
      <c r="K80">
        <v>1</v>
      </c>
      <c r="L80">
        <v>4</v>
      </c>
      <c r="M80">
        <v>5</v>
      </c>
      <c r="N80">
        <v>82</v>
      </c>
      <c r="O80">
        <v>11.7</v>
      </c>
      <c r="P80" s="5">
        <f t="shared" si="14"/>
        <v>2.4657534246575343</v>
      </c>
      <c r="Q80" s="5">
        <f>IF(Performance_Data[[#This Row],[Minutes_Played]]&gt;0,Performance_Data[[#This Row],[Assists]]*90/Performance_Data[[#This Row],[Minutes_Played]], 0)</f>
        <v>2.4657534246575343</v>
      </c>
      <c r="R80" s="5">
        <f>IF(Performance_Data[[#This Row],[Key_Passes]]&gt;0,Performance_Data[[#This Row],[Key_Passes]]*90/Performance_Data[[#This Row],[Minutes_Played]],0)</f>
        <v>1.2328767123287672</v>
      </c>
      <c r="S80" s="5">
        <f>IF(Performance_Data[[#This Row],[Shots]]&gt;0,Performance_Data[[#This Row],[Shots]]*90/Performance_Data[[#This Row],[Minutes_Played]],0)</f>
        <v>1.2328767123287672</v>
      </c>
      <c r="T80" s="6">
        <f>IF(Performance_Data[[#This Row],[Successful_Dribbles]]&gt;0,Performance_Data[[#This Row],[Successful_Dribbles]]*90/Performance_Data[[#This Row],[Minutes_Played]],0)</f>
        <v>4.9315068493150687</v>
      </c>
      <c r="U80" s="5">
        <f>IF(Performance_Data[[#This Row],[Duels_Won]]&gt;0,Performance_Data[[#This Row],[Duels_Won]]*90/Performance_Data[[#This Row],[Minutes_Played]],0)</f>
        <v>6.1643835616438354</v>
      </c>
      <c r="V80" s="5">
        <f t="shared" si="15"/>
        <v>1.9674421829072153</v>
      </c>
      <c r="W80" s="5">
        <f t="shared" si="16"/>
        <v>1.4405191059841385</v>
      </c>
      <c r="X80" s="5">
        <f t="shared" si="17"/>
        <v>3.0987731446635558</v>
      </c>
      <c r="Y80" s="5">
        <f t="shared" si="18"/>
        <v>3.857130576705198</v>
      </c>
      <c r="Z80" s="5">
        <f t="shared" si="19"/>
        <v>5.043444227005871</v>
      </c>
      <c r="AA80" s="5">
        <f t="shared" si="20"/>
        <v>7.1440392340176047</v>
      </c>
    </row>
    <row r="81" spans="1:27" x14ac:dyDescent="0.3">
      <c r="A81" s="3" t="s">
        <v>124</v>
      </c>
      <c r="B81" s="9" t="s">
        <v>24</v>
      </c>
      <c r="C81" s="3" t="s">
        <v>25</v>
      </c>
      <c r="D81">
        <v>18</v>
      </c>
      <c r="E81" s="3" t="s">
        <v>26</v>
      </c>
      <c r="F81" s="8">
        <v>45737</v>
      </c>
      <c r="G81">
        <v>53</v>
      </c>
      <c r="H81">
        <v>2</v>
      </c>
      <c r="I81">
        <v>1</v>
      </c>
      <c r="J81">
        <v>4</v>
      </c>
      <c r="K81">
        <v>6</v>
      </c>
      <c r="L81">
        <v>4</v>
      </c>
      <c r="M81">
        <v>10</v>
      </c>
      <c r="N81">
        <v>77</v>
      </c>
      <c r="O81">
        <v>10.9</v>
      </c>
      <c r="P81" s="5">
        <f t="shared" si="14"/>
        <v>3.3962264150943398</v>
      </c>
      <c r="Q81" s="5">
        <f>IF(Performance_Data[[#This Row],[Minutes_Played]]&gt;0,Performance_Data[[#This Row],[Assists]]*90/Performance_Data[[#This Row],[Minutes_Played]], 0)</f>
        <v>1.6981132075471699</v>
      </c>
      <c r="R81" s="5">
        <f>IF(Performance_Data[[#This Row],[Key_Passes]]&gt;0,Performance_Data[[#This Row],[Key_Passes]]*90/Performance_Data[[#This Row],[Minutes_Played]],0)</f>
        <v>6.7924528301886795</v>
      </c>
      <c r="S81" s="5">
        <f>IF(Performance_Data[[#This Row],[Shots]]&gt;0,Performance_Data[[#This Row],[Shots]]*90/Performance_Data[[#This Row],[Minutes_Played]],0)</f>
        <v>10.188679245283019</v>
      </c>
      <c r="T81" s="6">
        <f>IF(Performance_Data[[#This Row],[Successful_Dribbles]]&gt;0,Performance_Data[[#This Row],[Successful_Dribbles]]*90/Performance_Data[[#This Row],[Minutes_Played]],0)</f>
        <v>6.7924528301886795</v>
      </c>
      <c r="U81" s="5">
        <f>IF(Performance_Data[[#This Row],[Duels_Won]]&gt;0,Performance_Data[[#This Row],[Duels_Won]]*90/Performance_Data[[#This Row],[Minutes_Played]],0)</f>
        <v>16.981132075471699</v>
      </c>
      <c r="V81" s="5">
        <f t="shared" si="15"/>
        <v>1.6993190448734516</v>
      </c>
      <c r="W81" s="5">
        <f t="shared" si="16"/>
        <v>0.83277332644094082</v>
      </c>
      <c r="X81" s="5">
        <f t="shared" si="17"/>
        <v>4.4572637107012918</v>
      </c>
      <c r="Y81" s="5">
        <f t="shared" si="18"/>
        <v>4.9474980047091703</v>
      </c>
      <c r="Z81" s="5">
        <f t="shared" si="19"/>
        <v>6.4019347930436066</v>
      </c>
      <c r="AA81" s="5">
        <f t="shared" si="20"/>
        <v>9.1192130175329957</v>
      </c>
    </row>
    <row r="82" spans="1:27" x14ac:dyDescent="0.3">
      <c r="A82" s="3" t="s">
        <v>125</v>
      </c>
      <c r="B82" s="9" t="s">
        <v>27</v>
      </c>
      <c r="C82" s="3" t="s">
        <v>28</v>
      </c>
      <c r="D82">
        <v>22</v>
      </c>
      <c r="E82" s="3" t="s">
        <v>17</v>
      </c>
      <c r="F82" s="8">
        <v>45738</v>
      </c>
      <c r="G82">
        <v>76</v>
      </c>
      <c r="H82">
        <v>0</v>
      </c>
      <c r="I82">
        <v>1</v>
      </c>
      <c r="J82">
        <v>6</v>
      </c>
      <c r="K82">
        <v>0</v>
      </c>
      <c r="L82">
        <v>0</v>
      </c>
      <c r="M82">
        <v>4</v>
      </c>
      <c r="N82">
        <v>68</v>
      </c>
      <c r="O82">
        <v>11.6</v>
      </c>
      <c r="P82" s="5">
        <f t="shared" si="14"/>
        <v>0</v>
      </c>
      <c r="Q82" s="5">
        <f>IF(Performance_Data[[#This Row],[Minutes_Played]]&gt;0,Performance_Data[[#This Row],[Assists]]*90/Performance_Data[[#This Row],[Minutes_Played]], 0)</f>
        <v>1.1842105263157894</v>
      </c>
      <c r="R82" s="5">
        <f>IF(Performance_Data[[#This Row],[Key_Passes]]&gt;0,Performance_Data[[#This Row],[Key_Passes]]*90/Performance_Data[[#This Row],[Minutes_Played]],0)</f>
        <v>7.1052631578947372</v>
      </c>
      <c r="S82" s="5">
        <f>IF(Performance_Data[[#This Row],[Shots]]&gt;0,Performance_Data[[#This Row],[Shots]]*90/Performance_Data[[#This Row],[Minutes_Played]],0)</f>
        <v>0</v>
      </c>
      <c r="T82" s="6">
        <f>IF(Performance_Data[[#This Row],[Successful_Dribbles]]&gt;0,Performance_Data[[#This Row],[Successful_Dribbles]]*90/Performance_Data[[#This Row],[Minutes_Played]],0)</f>
        <v>0</v>
      </c>
      <c r="U82" s="5">
        <f>IF(Performance_Data[[#This Row],[Duels_Won]]&gt;0,Performance_Data[[#This Row],[Duels_Won]]*90/Performance_Data[[#This Row],[Minutes_Played]],0)</f>
        <v>4.7368421052631575</v>
      </c>
      <c r="V82" s="5" t="str">
        <f t="shared" si="15"/>
        <v/>
      </c>
      <c r="W82" s="5" t="str">
        <f t="shared" si="16"/>
        <v/>
      </c>
      <c r="X82" s="5" t="str">
        <f t="shared" si="17"/>
        <v/>
      </c>
      <c r="Y82" s="5" t="str">
        <f t="shared" si="18"/>
        <v/>
      </c>
      <c r="Z82" s="5" t="str">
        <f t="shared" si="19"/>
        <v/>
      </c>
      <c r="AA82" s="5" t="str">
        <f t="shared" si="20"/>
        <v/>
      </c>
    </row>
    <row r="83" spans="1:27" x14ac:dyDescent="0.3">
      <c r="A83" s="3" t="s">
        <v>126</v>
      </c>
      <c r="B83" s="9" t="s">
        <v>27</v>
      </c>
      <c r="C83" s="3" t="s">
        <v>28</v>
      </c>
      <c r="D83">
        <v>22</v>
      </c>
      <c r="E83" s="3" t="s">
        <v>17</v>
      </c>
      <c r="F83" s="8">
        <v>45739</v>
      </c>
      <c r="G83">
        <v>78</v>
      </c>
      <c r="H83">
        <v>1</v>
      </c>
      <c r="I83">
        <v>2</v>
      </c>
      <c r="J83">
        <v>0</v>
      </c>
      <c r="K83">
        <v>3</v>
      </c>
      <c r="L83">
        <v>1</v>
      </c>
      <c r="M83">
        <v>5</v>
      </c>
      <c r="N83">
        <v>86</v>
      </c>
      <c r="O83">
        <v>10.7</v>
      </c>
      <c r="P83" s="5">
        <f t="shared" si="14"/>
        <v>1.1538461538461537</v>
      </c>
      <c r="Q83" s="5">
        <f>IF(Performance_Data[[#This Row],[Minutes_Played]]&gt;0,Performance_Data[[#This Row],[Assists]]*90/Performance_Data[[#This Row],[Minutes_Played]], 0)</f>
        <v>2.3076923076923075</v>
      </c>
      <c r="R83" s="5">
        <f>IF(Performance_Data[[#This Row],[Key_Passes]]&gt;0,Performance_Data[[#This Row],[Key_Passes]]*90/Performance_Data[[#This Row],[Minutes_Played]],0)</f>
        <v>0</v>
      </c>
      <c r="S83" s="5">
        <f>IF(Performance_Data[[#This Row],[Shots]]&gt;0,Performance_Data[[#This Row],[Shots]]*90/Performance_Data[[#This Row],[Minutes_Played]],0)</f>
        <v>3.4615384615384617</v>
      </c>
      <c r="T83" s="6">
        <f>IF(Performance_Data[[#This Row],[Successful_Dribbles]]&gt;0,Performance_Data[[#This Row],[Successful_Dribbles]]*90/Performance_Data[[#This Row],[Minutes_Played]],0)</f>
        <v>1.1538461538461537</v>
      </c>
      <c r="U83" s="5">
        <f>IF(Performance_Data[[#This Row],[Duels_Won]]&gt;0,Performance_Data[[#This Row],[Duels_Won]]*90/Performance_Data[[#This Row],[Minutes_Played]],0)</f>
        <v>5.7692307692307692</v>
      </c>
      <c r="V83" s="5" t="str">
        <f t="shared" si="15"/>
        <v/>
      </c>
      <c r="W83" s="5" t="str">
        <f t="shared" si="16"/>
        <v/>
      </c>
      <c r="X83" s="5" t="str">
        <f t="shared" si="17"/>
        <v/>
      </c>
      <c r="Y83" s="5" t="str">
        <f t="shared" si="18"/>
        <v/>
      </c>
      <c r="Z83" s="5" t="str">
        <f t="shared" si="19"/>
        <v/>
      </c>
      <c r="AA83" s="5" t="str">
        <f t="shared" si="20"/>
        <v/>
      </c>
    </row>
    <row r="84" spans="1:27" x14ac:dyDescent="0.3">
      <c r="A84" s="3" t="s">
        <v>127</v>
      </c>
      <c r="B84" s="9" t="s">
        <v>27</v>
      </c>
      <c r="C84" s="3" t="s">
        <v>28</v>
      </c>
      <c r="D84">
        <v>22</v>
      </c>
      <c r="E84" s="3" t="s">
        <v>17</v>
      </c>
      <c r="F84" s="8">
        <v>45740</v>
      </c>
      <c r="G84">
        <v>84</v>
      </c>
      <c r="H84">
        <v>1</v>
      </c>
      <c r="I84">
        <v>2</v>
      </c>
      <c r="J84">
        <v>2</v>
      </c>
      <c r="K84">
        <v>6</v>
      </c>
      <c r="L84">
        <v>2</v>
      </c>
      <c r="M84">
        <v>0</v>
      </c>
      <c r="N84">
        <v>83</v>
      </c>
      <c r="O84">
        <v>11.8</v>
      </c>
      <c r="P84" s="5">
        <f t="shared" si="14"/>
        <v>1.0714285714285714</v>
      </c>
      <c r="Q84" s="5">
        <f>IF(Performance_Data[[#This Row],[Minutes_Played]]&gt;0,Performance_Data[[#This Row],[Assists]]*90/Performance_Data[[#This Row],[Minutes_Played]], 0)</f>
        <v>2.1428571428571428</v>
      </c>
      <c r="R84" s="5">
        <f>IF(Performance_Data[[#This Row],[Key_Passes]]&gt;0,Performance_Data[[#This Row],[Key_Passes]]*90/Performance_Data[[#This Row],[Minutes_Played]],0)</f>
        <v>2.1428571428571428</v>
      </c>
      <c r="S84" s="5">
        <f>IF(Performance_Data[[#This Row],[Shots]]&gt;0,Performance_Data[[#This Row],[Shots]]*90/Performance_Data[[#This Row],[Minutes_Played]],0)</f>
        <v>6.4285714285714288</v>
      </c>
      <c r="T84" s="6">
        <f>IF(Performance_Data[[#This Row],[Successful_Dribbles]]&gt;0,Performance_Data[[#This Row],[Successful_Dribbles]]*90/Performance_Data[[#This Row],[Minutes_Played]],0)</f>
        <v>2.1428571428571428</v>
      </c>
      <c r="U84" s="5">
        <f>IF(Performance_Data[[#This Row],[Duels_Won]]&gt;0,Performance_Data[[#This Row],[Duels_Won]]*90/Performance_Data[[#This Row],[Minutes_Played]],0)</f>
        <v>0</v>
      </c>
      <c r="V84" s="5" t="str">
        <f t="shared" si="15"/>
        <v/>
      </c>
      <c r="W84" s="5" t="str">
        <f t="shared" si="16"/>
        <v/>
      </c>
      <c r="X84" s="5" t="str">
        <f t="shared" si="17"/>
        <v/>
      </c>
      <c r="Y84" s="5" t="str">
        <f t="shared" si="18"/>
        <v/>
      </c>
      <c r="Z84" s="5" t="str">
        <f t="shared" si="19"/>
        <v/>
      </c>
      <c r="AA84" s="5" t="str">
        <f t="shared" si="20"/>
        <v/>
      </c>
    </row>
    <row r="85" spans="1:27" x14ac:dyDescent="0.3">
      <c r="A85" s="3" t="s">
        <v>128</v>
      </c>
      <c r="B85" s="9" t="s">
        <v>27</v>
      </c>
      <c r="C85" s="3" t="s">
        <v>28</v>
      </c>
      <c r="D85">
        <v>22</v>
      </c>
      <c r="E85" s="3" t="s">
        <v>17</v>
      </c>
      <c r="F85" s="8">
        <v>45741</v>
      </c>
      <c r="G85">
        <v>36</v>
      </c>
      <c r="H85">
        <v>1</v>
      </c>
      <c r="I85">
        <v>1</v>
      </c>
      <c r="J85">
        <v>0</v>
      </c>
      <c r="K85">
        <v>6</v>
      </c>
      <c r="L85">
        <v>0</v>
      </c>
      <c r="M85">
        <v>11</v>
      </c>
      <c r="N85">
        <v>78</v>
      </c>
      <c r="O85">
        <v>9.1</v>
      </c>
      <c r="P85" s="5">
        <f t="shared" si="14"/>
        <v>2.5</v>
      </c>
      <c r="Q85" s="5">
        <f>IF(Performance_Data[[#This Row],[Minutes_Played]]&gt;0,Performance_Data[[#This Row],[Assists]]*90/Performance_Data[[#This Row],[Minutes_Played]], 0)</f>
        <v>2.5</v>
      </c>
      <c r="R85" s="5">
        <f>IF(Performance_Data[[#This Row],[Key_Passes]]&gt;0,Performance_Data[[#This Row],[Key_Passes]]*90/Performance_Data[[#This Row],[Minutes_Played]],0)</f>
        <v>0</v>
      </c>
      <c r="S85" s="5">
        <f>IF(Performance_Data[[#This Row],[Shots]]&gt;0,Performance_Data[[#This Row],[Shots]]*90/Performance_Data[[#This Row],[Minutes_Played]],0)</f>
        <v>15</v>
      </c>
      <c r="T85" s="6">
        <f>IF(Performance_Data[[#This Row],[Successful_Dribbles]]&gt;0,Performance_Data[[#This Row],[Successful_Dribbles]]*90/Performance_Data[[#This Row],[Minutes_Played]],0)</f>
        <v>0</v>
      </c>
      <c r="U85" s="5">
        <f>IF(Performance_Data[[#This Row],[Duels_Won]]&gt;0,Performance_Data[[#This Row],[Duels_Won]]*90/Performance_Data[[#This Row],[Minutes_Played]],0)</f>
        <v>27.5</v>
      </c>
      <c r="V85" s="5" t="str">
        <f t="shared" si="15"/>
        <v/>
      </c>
      <c r="W85" s="5" t="str">
        <f t="shared" si="16"/>
        <v/>
      </c>
      <c r="X85" s="5" t="str">
        <f t="shared" si="17"/>
        <v/>
      </c>
      <c r="Y85" s="5" t="str">
        <f t="shared" si="18"/>
        <v/>
      </c>
      <c r="Z85" s="5" t="str">
        <f t="shared" si="19"/>
        <v/>
      </c>
      <c r="AA85" s="5" t="str">
        <f t="shared" si="20"/>
        <v/>
      </c>
    </row>
    <row r="86" spans="1:27" x14ac:dyDescent="0.3">
      <c r="A86" s="3" t="s">
        <v>129</v>
      </c>
      <c r="B86" s="9" t="s">
        <v>27</v>
      </c>
      <c r="C86" s="3" t="s">
        <v>28</v>
      </c>
      <c r="D86">
        <v>22</v>
      </c>
      <c r="E86" s="3" t="s">
        <v>17</v>
      </c>
      <c r="F86" s="8">
        <v>45742</v>
      </c>
      <c r="G86">
        <v>60</v>
      </c>
      <c r="H86">
        <v>1</v>
      </c>
      <c r="I86">
        <v>2</v>
      </c>
      <c r="J86">
        <v>1</v>
      </c>
      <c r="K86">
        <v>6</v>
      </c>
      <c r="L86">
        <v>6</v>
      </c>
      <c r="M86">
        <v>6</v>
      </c>
      <c r="N86">
        <v>86</v>
      </c>
      <c r="O86">
        <v>10</v>
      </c>
      <c r="P86" s="5">
        <f t="shared" si="14"/>
        <v>1.5</v>
      </c>
      <c r="Q86" s="5">
        <f>IF(Performance_Data[[#This Row],[Minutes_Played]]&gt;0,Performance_Data[[#This Row],[Assists]]*90/Performance_Data[[#This Row],[Minutes_Played]], 0)</f>
        <v>3</v>
      </c>
      <c r="R86" s="5">
        <f>IF(Performance_Data[[#This Row],[Key_Passes]]&gt;0,Performance_Data[[#This Row],[Key_Passes]]*90/Performance_Data[[#This Row],[Minutes_Played]],0)</f>
        <v>1.5</v>
      </c>
      <c r="S86" s="5">
        <f>IF(Performance_Data[[#This Row],[Shots]]&gt;0,Performance_Data[[#This Row],[Shots]]*90/Performance_Data[[#This Row],[Minutes_Played]],0)</f>
        <v>9</v>
      </c>
      <c r="T86" s="6">
        <f>IF(Performance_Data[[#This Row],[Successful_Dribbles]]&gt;0,Performance_Data[[#This Row],[Successful_Dribbles]]*90/Performance_Data[[#This Row],[Minutes_Played]],0)</f>
        <v>9</v>
      </c>
      <c r="U86" s="5">
        <f>IF(Performance_Data[[#This Row],[Duels_Won]]&gt;0,Performance_Data[[#This Row],[Duels_Won]]*90/Performance_Data[[#This Row],[Minutes_Played]],0)</f>
        <v>9</v>
      </c>
      <c r="V86" s="5">
        <f t="shared" si="15"/>
        <v>1.2450549450549451</v>
      </c>
      <c r="W86" s="5">
        <f t="shared" si="16"/>
        <v>2.2269519953730481</v>
      </c>
      <c r="X86" s="5">
        <f t="shared" si="17"/>
        <v>2.149624060150376</v>
      </c>
      <c r="Y86" s="5">
        <f t="shared" si="18"/>
        <v>6.7780219780219779</v>
      </c>
      <c r="Z86" s="5">
        <f t="shared" si="19"/>
        <v>2.459340659340659</v>
      </c>
      <c r="AA86" s="5">
        <f t="shared" si="20"/>
        <v>9.4012145748987841</v>
      </c>
    </row>
    <row r="87" spans="1:27" x14ac:dyDescent="0.3">
      <c r="A87" s="3" t="s">
        <v>130</v>
      </c>
      <c r="B87" s="9" t="s">
        <v>27</v>
      </c>
      <c r="C87" s="3" t="s">
        <v>28</v>
      </c>
      <c r="D87">
        <v>22</v>
      </c>
      <c r="E87" s="3" t="s">
        <v>17</v>
      </c>
      <c r="F87" s="8">
        <v>45743</v>
      </c>
      <c r="G87">
        <v>70</v>
      </c>
      <c r="H87">
        <v>2</v>
      </c>
      <c r="I87">
        <v>0</v>
      </c>
      <c r="J87">
        <v>2</v>
      </c>
      <c r="K87">
        <v>5</v>
      </c>
      <c r="L87">
        <v>7</v>
      </c>
      <c r="M87">
        <v>5</v>
      </c>
      <c r="N87">
        <v>88</v>
      </c>
      <c r="O87">
        <v>10.9</v>
      </c>
      <c r="P87" s="5">
        <f t="shared" si="14"/>
        <v>2.5714285714285716</v>
      </c>
      <c r="Q87" s="5">
        <f>IF(Performance_Data[[#This Row],[Minutes_Played]]&gt;0,Performance_Data[[#This Row],[Assists]]*90/Performance_Data[[#This Row],[Minutes_Played]], 0)</f>
        <v>0</v>
      </c>
      <c r="R87" s="5">
        <f>IF(Performance_Data[[#This Row],[Key_Passes]]&gt;0,Performance_Data[[#This Row],[Key_Passes]]*90/Performance_Data[[#This Row],[Minutes_Played]],0)</f>
        <v>2.5714285714285716</v>
      </c>
      <c r="S87" s="5">
        <f>IF(Performance_Data[[#This Row],[Shots]]&gt;0,Performance_Data[[#This Row],[Shots]]*90/Performance_Data[[#This Row],[Minutes_Played]],0)</f>
        <v>6.4285714285714288</v>
      </c>
      <c r="T87" s="6">
        <f>IF(Performance_Data[[#This Row],[Successful_Dribbles]]&gt;0,Performance_Data[[#This Row],[Successful_Dribbles]]*90/Performance_Data[[#This Row],[Minutes_Played]],0)</f>
        <v>9</v>
      </c>
      <c r="U87" s="5">
        <f>IF(Performance_Data[[#This Row],[Duels_Won]]&gt;0,Performance_Data[[#This Row],[Duels_Won]]*90/Performance_Data[[#This Row],[Minutes_Played]],0)</f>
        <v>6.4285714285714288</v>
      </c>
      <c r="V87" s="5">
        <f t="shared" si="15"/>
        <v>1.7593406593406595</v>
      </c>
      <c r="W87" s="5">
        <f t="shared" si="16"/>
        <v>1.9901098901098901</v>
      </c>
      <c r="X87" s="5">
        <f t="shared" si="17"/>
        <v>1.2428571428571429</v>
      </c>
      <c r="Y87" s="5">
        <f t="shared" si="18"/>
        <v>8.0637362637362635</v>
      </c>
      <c r="Z87" s="5">
        <f t="shared" si="19"/>
        <v>4.2593406593406593</v>
      </c>
      <c r="AA87" s="5">
        <f t="shared" si="20"/>
        <v>9.7395604395604387</v>
      </c>
    </row>
    <row r="88" spans="1:27" x14ac:dyDescent="0.3">
      <c r="A88" s="3" t="s">
        <v>131</v>
      </c>
      <c r="B88" s="9" t="s">
        <v>27</v>
      </c>
      <c r="C88" s="3" t="s">
        <v>28</v>
      </c>
      <c r="D88">
        <v>22</v>
      </c>
      <c r="E88" s="3" t="s">
        <v>17</v>
      </c>
      <c r="F88" s="8">
        <v>45744</v>
      </c>
      <c r="G88">
        <v>46</v>
      </c>
      <c r="H88">
        <v>2</v>
      </c>
      <c r="I88">
        <v>1</v>
      </c>
      <c r="J88">
        <v>3</v>
      </c>
      <c r="K88">
        <v>4</v>
      </c>
      <c r="L88">
        <v>3</v>
      </c>
      <c r="M88">
        <v>2</v>
      </c>
      <c r="N88">
        <v>84</v>
      </c>
      <c r="O88">
        <v>9.9</v>
      </c>
      <c r="P88" s="5">
        <f t="shared" si="14"/>
        <v>3.9130434782608696</v>
      </c>
      <c r="Q88" s="5">
        <f>IF(Performance_Data[[#This Row],[Minutes_Played]]&gt;0,Performance_Data[[#This Row],[Assists]]*90/Performance_Data[[#This Row],[Minutes_Played]], 0)</f>
        <v>1.9565217391304348</v>
      </c>
      <c r="R88" s="5">
        <f>IF(Performance_Data[[#This Row],[Key_Passes]]&gt;0,Performance_Data[[#This Row],[Key_Passes]]*90/Performance_Data[[#This Row],[Minutes_Played]],0)</f>
        <v>5.8695652173913047</v>
      </c>
      <c r="S88" s="5">
        <f>IF(Performance_Data[[#This Row],[Shots]]&gt;0,Performance_Data[[#This Row],[Shots]]*90/Performance_Data[[#This Row],[Minutes_Played]],0)</f>
        <v>7.8260869565217392</v>
      </c>
      <c r="T88" s="6">
        <f>IF(Performance_Data[[#This Row],[Successful_Dribbles]]&gt;0,Performance_Data[[#This Row],[Successful_Dribbles]]*90/Performance_Data[[#This Row],[Minutes_Played]],0)</f>
        <v>5.8695652173913047</v>
      </c>
      <c r="U88" s="5">
        <f>IF(Performance_Data[[#This Row],[Duels_Won]]&gt;0,Performance_Data[[#This Row],[Duels_Won]]*90/Performance_Data[[#This Row],[Minutes_Played]],0)</f>
        <v>3.9130434782608696</v>
      </c>
      <c r="V88" s="5">
        <f t="shared" si="15"/>
        <v>2.3111801242236023</v>
      </c>
      <c r="W88" s="5">
        <f t="shared" si="16"/>
        <v>1.9198757763975156</v>
      </c>
      <c r="X88" s="5">
        <f t="shared" si="17"/>
        <v>2.4167701863354041</v>
      </c>
      <c r="Y88" s="5">
        <f t="shared" si="18"/>
        <v>8.9366459627329213</v>
      </c>
      <c r="Z88" s="5">
        <f t="shared" si="19"/>
        <v>5.2024844720496892</v>
      </c>
      <c r="AA88" s="5">
        <f t="shared" si="20"/>
        <v>9.3683229813664592</v>
      </c>
    </row>
    <row r="89" spans="1:27" x14ac:dyDescent="0.3">
      <c r="A89" s="3" t="s">
        <v>132</v>
      </c>
      <c r="B89" s="9" t="s">
        <v>27</v>
      </c>
      <c r="C89" s="3" t="s">
        <v>28</v>
      </c>
      <c r="D89">
        <v>22</v>
      </c>
      <c r="E89" s="3" t="s">
        <v>17</v>
      </c>
      <c r="F89" s="8">
        <v>45745</v>
      </c>
      <c r="G89">
        <v>41</v>
      </c>
      <c r="H89">
        <v>0</v>
      </c>
      <c r="I89">
        <v>2</v>
      </c>
      <c r="J89">
        <v>5</v>
      </c>
      <c r="K89">
        <v>2</v>
      </c>
      <c r="L89">
        <v>7</v>
      </c>
      <c r="M89">
        <v>6</v>
      </c>
      <c r="N89">
        <v>84</v>
      </c>
      <c r="O89">
        <v>9.8000000000000007</v>
      </c>
      <c r="P89" s="5">
        <f t="shared" si="14"/>
        <v>0</v>
      </c>
      <c r="Q89" s="5">
        <f>IF(Performance_Data[[#This Row],[Minutes_Played]]&gt;0,Performance_Data[[#This Row],[Assists]]*90/Performance_Data[[#This Row],[Minutes_Played]], 0)</f>
        <v>4.3902439024390247</v>
      </c>
      <c r="R89" s="5">
        <f>IF(Performance_Data[[#This Row],[Key_Passes]]&gt;0,Performance_Data[[#This Row],[Key_Passes]]*90/Performance_Data[[#This Row],[Minutes_Played]],0)</f>
        <v>10.975609756097562</v>
      </c>
      <c r="S89" s="5">
        <f>IF(Performance_Data[[#This Row],[Shots]]&gt;0,Performance_Data[[#This Row],[Shots]]*90/Performance_Data[[#This Row],[Minutes_Played]],0)</f>
        <v>4.3902439024390247</v>
      </c>
      <c r="T89" s="6">
        <f>IF(Performance_Data[[#This Row],[Successful_Dribbles]]&gt;0,Performance_Data[[#This Row],[Successful_Dribbles]]*90/Performance_Data[[#This Row],[Minutes_Played]],0)</f>
        <v>15.365853658536585</v>
      </c>
      <c r="U89" s="5">
        <f>IF(Performance_Data[[#This Row],[Duels_Won]]&gt;0,Performance_Data[[#This Row],[Duels_Won]]*90/Performance_Data[[#This Row],[Minutes_Played]],0)</f>
        <v>13.170731707317072</v>
      </c>
      <c r="V89" s="5">
        <f t="shared" si="15"/>
        <v>2.0968944099378879</v>
      </c>
      <c r="W89" s="5">
        <f t="shared" si="16"/>
        <v>2.3693531283138918</v>
      </c>
      <c r="X89" s="5">
        <f t="shared" si="17"/>
        <v>4.1833207089834872</v>
      </c>
      <c r="Y89" s="5">
        <f t="shared" si="18"/>
        <v>8.5289804575064387</v>
      </c>
      <c r="Z89" s="5">
        <f t="shared" si="19"/>
        <v>7.8470837751855784</v>
      </c>
      <c r="AA89" s="5">
        <f t="shared" si="20"/>
        <v>12.002469322829874</v>
      </c>
    </row>
    <row r="90" spans="1:27" x14ac:dyDescent="0.3">
      <c r="A90" s="3" t="s">
        <v>133</v>
      </c>
      <c r="B90" s="9" t="s">
        <v>27</v>
      </c>
      <c r="C90" s="3" t="s">
        <v>28</v>
      </c>
      <c r="D90">
        <v>22</v>
      </c>
      <c r="E90" s="3" t="s">
        <v>17</v>
      </c>
      <c r="F90" s="8">
        <v>45746</v>
      </c>
      <c r="G90">
        <v>85</v>
      </c>
      <c r="H90">
        <v>1</v>
      </c>
      <c r="I90">
        <v>2</v>
      </c>
      <c r="J90">
        <v>0</v>
      </c>
      <c r="K90">
        <v>6</v>
      </c>
      <c r="L90">
        <v>3</v>
      </c>
      <c r="M90">
        <v>7</v>
      </c>
      <c r="N90">
        <v>82</v>
      </c>
      <c r="O90">
        <v>8.4</v>
      </c>
      <c r="P90" s="5">
        <f t="shared" si="14"/>
        <v>1.0588235294117647</v>
      </c>
      <c r="Q90" s="5">
        <f>IF(Performance_Data[[#This Row],[Minutes_Played]]&gt;0,Performance_Data[[#This Row],[Assists]]*90/Performance_Data[[#This Row],[Minutes_Played]], 0)</f>
        <v>2.1176470588235294</v>
      </c>
      <c r="R90" s="5">
        <f>IF(Performance_Data[[#This Row],[Key_Passes]]&gt;0,Performance_Data[[#This Row],[Key_Passes]]*90/Performance_Data[[#This Row],[Minutes_Played]],0)</f>
        <v>0</v>
      </c>
      <c r="S90" s="5">
        <f>IF(Performance_Data[[#This Row],[Shots]]&gt;0,Performance_Data[[#This Row],[Shots]]*90/Performance_Data[[#This Row],[Minutes_Played]],0)</f>
        <v>6.3529411764705879</v>
      </c>
      <c r="T90" s="6">
        <f>IF(Performance_Data[[#This Row],[Successful_Dribbles]]&gt;0,Performance_Data[[#This Row],[Successful_Dribbles]]*90/Performance_Data[[#This Row],[Minutes_Played]],0)</f>
        <v>3.1764705882352939</v>
      </c>
      <c r="U90" s="5">
        <f>IF(Performance_Data[[#This Row],[Duels_Won]]&gt;0,Performance_Data[[#This Row],[Duels_Won]]*90/Performance_Data[[#This Row],[Minutes_Played]],0)</f>
        <v>7.4117647058823533</v>
      </c>
      <c r="V90" s="5">
        <f t="shared" si="15"/>
        <v>1.808659115820241</v>
      </c>
      <c r="W90" s="5">
        <f t="shared" si="16"/>
        <v>2.2928825400785975</v>
      </c>
      <c r="X90" s="5">
        <f t="shared" si="17"/>
        <v>4.1833207089834872</v>
      </c>
      <c r="Y90" s="5">
        <f t="shared" si="18"/>
        <v>6.7995686928005572</v>
      </c>
      <c r="Z90" s="5">
        <f t="shared" si="19"/>
        <v>8.4823778928326377</v>
      </c>
      <c r="AA90" s="5">
        <f t="shared" si="20"/>
        <v>7.9848222640063451</v>
      </c>
    </row>
    <row r="91" spans="1:27" x14ac:dyDescent="0.3">
      <c r="A91" s="3" t="s">
        <v>134</v>
      </c>
      <c r="B91" s="9" t="s">
        <v>27</v>
      </c>
      <c r="C91" s="3" t="s">
        <v>28</v>
      </c>
      <c r="D91">
        <v>22</v>
      </c>
      <c r="E91" s="3" t="s">
        <v>17</v>
      </c>
      <c r="F91" s="8">
        <v>45747</v>
      </c>
      <c r="G91">
        <v>90</v>
      </c>
      <c r="H91">
        <v>1</v>
      </c>
      <c r="I91">
        <v>0</v>
      </c>
      <c r="J91">
        <v>2</v>
      </c>
      <c r="K91">
        <v>1</v>
      </c>
      <c r="L91">
        <v>7</v>
      </c>
      <c r="M91">
        <v>3</v>
      </c>
      <c r="N91">
        <v>80</v>
      </c>
      <c r="O91">
        <v>11.3</v>
      </c>
      <c r="P91" s="5">
        <f t="shared" si="14"/>
        <v>1</v>
      </c>
      <c r="Q91" s="5">
        <f>IF(Performance_Data[[#This Row],[Minutes_Played]]&gt;0,Performance_Data[[#This Row],[Assists]]*90/Performance_Data[[#This Row],[Minutes_Played]], 0)</f>
        <v>0</v>
      </c>
      <c r="R91" s="5">
        <f>IF(Performance_Data[[#This Row],[Key_Passes]]&gt;0,Performance_Data[[#This Row],[Key_Passes]]*90/Performance_Data[[#This Row],[Minutes_Played]],0)</f>
        <v>2</v>
      </c>
      <c r="S91" s="5">
        <f>IF(Performance_Data[[#This Row],[Shots]]&gt;0,Performance_Data[[#This Row],[Shots]]*90/Performance_Data[[#This Row],[Minutes_Played]],0)</f>
        <v>1</v>
      </c>
      <c r="T91" s="6">
        <f>IF(Performance_Data[[#This Row],[Successful_Dribbles]]&gt;0,Performance_Data[[#This Row],[Successful_Dribbles]]*90/Performance_Data[[#This Row],[Minutes_Played]],0)</f>
        <v>7</v>
      </c>
      <c r="U91" s="5">
        <f>IF(Performance_Data[[#This Row],[Duels_Won]]&gt;0,Performance_Data[[#This Row],[Duels_Won]]*90/Performance_Data[[#This Row],[Minutes_Played]],0)</f>
        <v>3</v>
      </c>
      <c r="V91" s="5">
        <f t="shared" si="15"/>
        <v>1.7086591158202409</v>
      </c>
      <c r="W91" s="5">
        <f t="shared" si="16"/>
        <v>1.6928825400785978</v>
      </c>
      <c r="X91" s="5">
        <f t="shared" si="17"/>
        <v>4.2833207089834868</v>
      </c>
      <c r="Y91" s="5">
        <f t="shared" si="18"/>
        <v>5.1995686928005558</v>
      </c>
      <c r="Z91" s="5">
        <f t="shared" si="19"/>
        <v>8.0823778928326373</v>
      </c>
      <c r="AA91" s="5">
        <f t="shared" si="20"/>
        <v>6.7848222640063458</v>
      </c>
    </row>
    <row r="92" spans="1:27" x14ac:dyDescent="0.3">
      <c r="A92" s="3" t="s">
        <v>135</v>
      </c>
      <c r="B92" s="9" t="s">
        <v>27</v>
      </c>
      <c r="C92" s="3" t="s">
        <v>28</v>
      </c>
      <c r="D92">
        <v>22</v>
      </c>
      <c r="E92" s="3" t="s">
        <v>17</v>
      </c>
      <c r="F92" s="8">
        <v>45748</v>
      </c>
      <c r="G92">
        <v>48</v>
      </c>
      <c r="H92">
        <v>0</v>
      </c>
      <c r="I92">
        <v>0</v>
      </c>
      <c r="J92">
        <v>2</v>
      </c>
      <c r="K92">
        <v>6</v>
      </c>
      <c r="L92">
        <v>3</v>
      </c>
      <c r="M92">
        <v>3</v>
      </c>
      <c r="N92">
        <v>65</v>
      </c>
      <c r="O92">
        <v>11.1</v>
      </c>
      <c r="P92" s="5">
        <f t="shared" si="14"/>
        <v>0</v>
      </c>
      <c r="Q92" s="5">
        <f>IF(Performance_Data[[#This Row],[Minutes_Played]]&gt;0,Performance_Data[[#This Row],[Assists]]*90/Performance_Data[[#This Row],[Minutes_Played]], 0)</f>
        <v>0</v>
      </c>
      <c r="R92" s="5">
        <f>IF(Performance_Data[[#This Row],[Key_Passes]]&gt;0,Performance_Data[[#This Row],[Key_Passes]]*90/Performance_Data[[#This Row],[Minutes_Played]],0)</f>
        <v>3.75</v>
      </c>
      <c r="S92" s="5">
        <f>IF(Performance_Data[[#This Row],[Shots]]&gt;0,Performance_Data[[#This Row],[Shots]]*90/Performance_Data[[#This Row],[Minutes_Played]],0)</f>
        <v>11.25</v>
      </c>
      <c r="T92" s="6">
        <f>IF(Performance_Data[[#This Row],[Successful_Dribbles]]&gt;0,Performance_Data[[#This Row],[Successful_Dribbles]]*90/Performance_Data[[#This Row],[Minutes_Played]],0)</f>
        <v>5.625</v>
      </c>
      <c r="U92" s="5">
        <f>IF(Performance_Data[[#This Row],[Duels_Won]]&gt;0,Performance_Data[[#This Row],[Duels_Won]]*90/Performance_Data[[#This Row],[Minutes_Played]],0)</f>
        <v>5.625</v>
      </c>
      <c r="V92" s="5">
        <f t="shared" si="15"/>
        <v>1.1943734015345269</v>
      </c>
      <c r="W92" s="5">
        <f t="shared" si="16"/>
        <v>1.6928825400785978</v>
      </c>
      <c r="X92" s="5">
        <f t="shared" si="17"/>
        <v>4.5190349946977735</v>
      </c>
      <c r="Y92" s="5">
        <f t="shared" si="18"/>
        <v>6.1638544070862702</v>
      </c>
      <c r="Z92" s="5">
        <f t="shared" si="19"/>
        <v>7.4073778928326366</v>
      </c>
      <c r="AA92" s="5">
        <f t="shared" si="20"/>
        <v>6.6241079782920593</v>
      </c>
    </row>
    <row r="93" spans="1:27" x14ac:dyDescent="0.3">
      <c r="A93" s="3" t="s">
        <v>136</v>
      </c>
      <c r="B93" s="9" t="s">
        <v>27</v>
      </c>
      <c r="C93" s="3" t="s">
        <v>28</v>
      </c>
      <c r="D93">
        <v>22</v>
      </c>
      <c r="E93" s="3" t="s">
        <v>17</v>
      </c>
      <c r="F93" s="8">
        <v>45749</v>
      </c>
      <c r="G93">
        <v>52</v>
      </c>
      <c r="H93">
        <v>2</v>
      </c>
      <c r="I93">
        <v>2</v>
      </c>
      <c r="J93">
        <v>3</v>
      </c>
      <c r="K93">
        <v>3</v>
      </c>
      <c r="L93">
        <v>1</v>
      </c>
      <c r="M93">
        <v>5</v>
      </c>
      <c r="N93">
        <v>68</v>
      </c>
      <c r="O93">
        <v>8.4</v>
      </c>
      <c r="P93" s="5">
        <f t="shared" si="14"/>
        <v>3.4615384615384617</v>
      </c>
      <c r="Q93" s="5">
        <f>IF(Performance_Data[[#This Row],[Minutes_Played]]&gt;0,Performance_Data[[#This Row],[Assists]]*90/Performance_Data[[#This Row],[Minutes_Played]], 0)</f>
        <v>3.4615384615384617</v>
      </c>
      <c r="R93" s="5">
        <f>IF(Performance_Data[[#This Row],[Key_Passes]]&gt;0,Performance_Data[[#This Row],[Key_Passes]]*90/Performance_Data[[#This Row],[Minutes_Played]],0)</f>
        <v>5.1923076923076925</v>
      </c>
      <c r="S93" s="5">
        <f>IF(Performance_Data[[#This Row],[Shots]]&gt;0,Performance_Data[[#This Row],[Shots]]*90/Performance_Data[[#This Row],[Minutes_Played]],0)</f>
        <v>5.1923076923076925</v>
      </c>
      <c r="T93" s="6">
        <f>IF(Performance_Data[[#This Row],[Successful_Dribbles]]&gt;0,Performance_Data[[#This Row],[Successful_Dribbles]]*90/Performance_Data[[#This Row],[Minutes_Played]],0)</f>
        <v>1.7307692307692308</v>
      </c>
      <c r="U93" s="5">
        <f>IF(Performance_Data[[#This Row],[Duels_Won]]&gt;0,Performance_Data[[#This Row],[Duels_Won]]*90/Performance_Data[[#This Row],[Minutes_Played]],0)</f>
        <v>8.6538461538461533</v>
      </c>
      <c r="V93" s="5">
        <f t="shared" si="15"/>
        <v>1.1040723981900453</v>
      </c>
      <c r="W93" s="5">
        <f t="shared" si="16"/>
        <v>1.993885884560203</v>
      </c>
      <c r="X93" s="5">
        <f t="shared" si="17"/>
        <v>4.383583489681051</v>
      </c>
      <c r="Y93" s="5">
        <f t="shared" si="18"/>
        <v>5.6370985542434608</v>
      </c>
      <c r="Z93" s="5">
        <f t="shared" si="19"/>
        <v>6.5796186955082216</v>
      </c>
      <c r="AA93" s="5">
        <f t="shared" si="20"/>
        <v>7.5722685134091163</v>
      </c>
    </row>
    <row r="94" spans="1:27" x14ac:dyDescent="0.3">
      <c r="A94" s="3" t="s">
        <v>137</v>
      </c>
      <c r="B94" s="9" t="s">
        <v>27</v>
      </c>
      <c r="C94" s="3" t="s">
        <v>28</v>
      </c>
      <c r="D94">
        <v>22</v>
      </c>
      <c r="E94" s="3" t="s">
        <v>17</v>
      </c>
      <c r="F94" s="8">
        <v>45750</v>
      </c>
      <c r="G94">
        <v>39</v>
      </c>
      <c r="H94">
        <v>2</v>
      </c>
      <c r="I94">
        <v>2</v>
      </c>
      <c r="J94">
        <v>5</v>
      </c>
      <c r="K94">
        <v>0</v>
      </c>
      <c r="L94">
        <v>4</v>
      </c>
      <c r="M94">
        <v>2</v>
      </c>
      <c r="N94">
        <v>75</v>
      </c>
      <c r="O94">
        <v>9.9</v>
      </c>
      <c r="P94" s="5">
        <f t="shared" si="14"/>
        <v>4.615384615384615</v>
      </c>
      <c r="Q94" s="5">
        <f>IF(Performance_Data[[#This Row],[Minutes_Played]]&gt;0,Performance_Data[[#This Row],[Assists]]*90/Performance_Data[[#This Row],[Minutes_Played]], 0)</f>
        <v>4.615384615384615</v>
      </c>
      <c r="R94" s="5">
        <f>IF(Performance_Data[[#This Row],[Key_Passes]]&gt;0,Performance_Data[[#This Row],[Key_Passes]]*90/Performance_Data[[#This Row],[Minutes_Played]],0)</f>
        <v>11.538461538461538</v>
      </c>
      <c r="S94" s="5">
        <f>IF(Performance_Data[[#This Row],[Shots]]&gt;0,Performance_Data[[#This Row],[Shots]]*90/Performance_Data[[#This Row],[Minutes_Played]],0)</f>
        <v>0</v>
      </c>
      <c r="T94" s="6">
        <f>IF(Performance_Data[[#This Row],[Successful_Dribbles]]&gt;0,Performance_Data[[#This Row],[Successful_Dribbles]]*90/Performance_Data[[#This Row],[Minutes_Played]],0)</f>
        <v>9.2307692307692299</v>
      </c>
      <c r="U94" s="5">
        <f>IF(Performance_Data[[#This Row],[Duels_Won]]&gt;0,Performance_Data[[#This Row],[Duels_Won]]*90/Performance_Data[[#This Row],[Minutes_Played]],0)</f>
        <v>4.615384615384615</v>
      </c>
      <c r="V94" s="5">
        <f t="shared" si="15"/>
        <v>2.0271493212669682</v>
      </c>
      <c r="W94" s="5">
        <f t="shared" si="16"/>
        <v>2.0389140271493211</v>
      </c>
      <c r="X94" s="5">
        <f t="shared" si="17"/>
        <v>4.4961538461538471</v>
      </c>
      <c r="Y94" s="5">
        <f t="shared" si="18"/>
        <v>4.7590497737556561</v>
      </c>
      <c r="Z94" s="5">
        <f t="shared" si="19"/>
        <v>5.3526018099547503</v>
      </c>
      <c r="AA94" s="5">
        <f t="shared" si="20"/>
        <v>5.8611990950226245</v>
      </c>
    </row>
    <row r="95" spans="1:27" x14ac:dyDescent="0.3">
      <c r="A95" s="3" t="s">
        <v>138</v>
      </c>
      <c r="B95" s="9" t="s">
        <v>27</v>
      </c>
      <c r="C95" s="3" t="s">
        <v>28</v>
      </c>
      <c r="D95">
        <v>22</v>
      </c>
      <c r="E95" s="3" t="s">
        <v>17</v>
      </c>
      <c r="F95" s="8">
        <v>45751</v>
      </c>
      <c r="G95">
        <v>49</v>
      </c>
      <c r="H95">
        <v>0</v>
      </c>
      <c r="I95">
        <v>2</v>
      </c>
      <c r="J95">
        <v>6</v>
      </c>
      <c r="K95">
        <v>1</v>
      </c>
      <c r="L95">
        <v>8</v>
      </c>
      <c r="M95">
        <v>7</v>
      </c>
      <c r="N95">
        <v>92</v>
      </c>
      <c r="O95">
        <v>8.5</v>
      </c>
      <c r="P95" s="5">
        <f t="shared" si="14"/>
        <v>0</v>
      </c>
      <c r="Q95" s="5">
        <f>IF(Performance_Data[[#This Row],[Minutes_Played]]&gt;0,Performance_Data[[#This Row],[Assists]]*90/Performance_Data[[#This Row],[Minutes_Played]], 0)</f>
        <v>3.6734693877551021</v>
      </c>
      <c r="R95" s="5">
        <f>IF(Performance_Data[[#This Row],[Key_Passes]]&gt;0,Performance_Data[[#This Row],[Key_Passes]]*90/Performance_Data[[#This Row],[Minutes_Played]],0)</f>
        <v>11.020408163265307</v>
      </c>
      <c r="S95" s="5">
        <f>IF(Performance_Data[[#This Row],[Shots]]&gt;0,Performance_Data[[#This Row],[Shots]]*90/Performance_Data[[#This Row],[Minutes_Played]],0)</f>
        <v>1.8367346938775511</v>
      </c>
      <c r="T95" s="6">
        <f>IF(Performance_Data[[#This Row],[Successful_Dribbles]]&gt;0,Performance_Data[[#This Row],[Successful_Dribbles]]*90/Performance_Data[[#This Row],[Minutes_Played]],0)</f>
        <v>14.693877551020408</v>
      </c>
      <c r="U95" s="5">
        <f>IF(Performance_Data[[#This Row],[Duels_Won]]&gt;0,Performance_Data[[#This Row],[Duels_Won]]*90/Performance_Data[[#This Row],[Minutes_Played]],0)</f>
        <v>12.857142857142858</v>
      </c>
      <c r="V95" s="5">
        <f t="shared" si="15"/>
        <v>1.8153846153846154</v>
      </c>
      <c r="W95" s="5">
        <f t="shared" si="16"/>
        <v>2.3500784929356358</v>
      </c>
      <c r="X95" s="5">
        <f t="shared" si="17"/>
        <v>6.7002354788069081</v>
      </c>
      <c r="Y95" s="5">
        <f t="shared" si="18"/>
        <v>3.8558084772370491</v>
      </c>
      <c r="Z95" s="5">
        <f t="shared" si="19"/>
        <v>7.6560832025117733</v>
      </c>
      <c r="AA95" s="5">
        <f t="shared" si="20"/>
        <v>6.9502747252747241</v>
      </c>
    </row>
    <row r="96" spans="1:27" x14ac:dyDescent="0.3">
      <c r="A96" s="3" t="s">
        <v>139</v>
      </c>
      <c r="B96" s="9" t="s">
        <v>27</v>
      </c>
      <c r="C96" s="3" t="s">
        <v>28</v>
      </c>
      <c r="D96">
        <v>22</v>
      </c>
      <c r="E96" s="3" t="s">
        <v>17</v>
      </c>
      <c r="F96" s="8">
        <v>45752</v>
      </c>
      <c r="G96">
        <v>56</v>
      </c>
      <c r="H96">
        <v>2</v>
      </c>
      <c r="I96">
        <v>0</v>
      </c>
      <c r="J96">
        <v>6</v>
      </c>
      <c r="K96">
        <v>0</v>
      </c>
      <c r="L96">
        <v>5</v>
      </c>
      <c r="M96">
        <v>9</v>
      </c>
      <c r="N96">
        <v>83</v>
      </c>
      <c r="O96">
        <v>9.1</v>
      </c>
      <c r="P96" s="5">
        <f t="shared" si="14"/>
        <v>3.2142857142857144</v>
      </c>
      <c r="Q96" s="5">
        <f>IF(Performance_Data[[#This Row],[Minutes_Played]]&gt;0,Performance_Data[[#This Row],[Assists]]*90/Performance_Data[[#This Row],[Minutes_Played]], 0)</f>
        <v>0</v>
      </c>
      <c r="R96" s="5">
        <f>IF(Performance_Data[[#This Row],[Key_Passes]]&gt;0,Performance_Data[[#This Row],[Key_Passes]]*90/Performance_Data[[#This Row],[Minutes_Played]],0)</f>
        <v>9.6428571428571423</v>
      </c>
      <c r="S96" s="5">
        <f>IF(Performance_Data[[#This Row],[Shots]]&gt;0,Performance_Data[[#This Row],[Shots]]*90/Performance_Data[[#This Row],[Minutes_Played]],0)</f>
        <v>0</v>
      </c>
      <c r="T96" s="6">
        <f>IF(Performance_Data[[#This Row],[Successful_Dribbles]]&gt;0,Performance_Data[[#This Row],[Successful_Dribbles]]*90/Performance_Data[[#This Row],[Minutes_Played]],0)</f>
        <v>8.0357142857142865</v>
      </c>
      <c r="U96" s="5">
        <f>IF(Performance_Data[[#This Row],[Duels_Won]]&gt;0,Performance_Data[[#This Row],[Duels_Won]]*90/Performance_Data[[#This Row],[Minutes_Played]],0)</f>
        <v>14.464285714285714</v>
      </c>
      <c r="V96" s="5">
        <f t="shared" si="15"/>
        <v>2.2582417582417582</v>
      </c>
      <c r="W96" s="5">
        <f t="shared" si="16"/>
        <v>2.3500784929356358</v>
      </c>
      <c r="X96" s="5">
        <f t="shared" si="17"/>
        <v>8.2288069073783365</v>
      </c>
      <c r="Y96" s="5">
        <f t="shared" si="18"/>
        <v>3.6558084772370494</v>
      </c>
      <c r="Z96" s="5">
        <f t="shared" si="19"/>
        <v>7.8632260596546306</v>
      </c>
      <c r="AA96" s="5">
        <f t="shared" si="20"/>
        <v>9.2431318681318668</v>
      </c>
    </row>
    <row r="97" spans="1:27" x14ac:dyDescent="0.3">
      <c r="A97" s="3" t="s">
        <v>140</v>
      </c>
      <c r="B97" s="9" t="s">
        <v>27</v>
      </c>
      <c r="C97" s="3" t="s">
        <v>28</v>
      </c>
      <c r="D97">
        <v>22</v>
      </c>
      <c r="E97" s="3" t="s">
        <v>17</v>
      </c>
      <c r="F97" s="8">
        <v>45753</v>
      </c>
      <c r="G97">
        <v>43</v>
      </c>
      <c r="H97">
        <v>0</v>
      </c>
      <c r="I97">
        <v>1</v>
      </c>
      <c r="J97">
        <v>0</v>
      </c>
      <c r="K97">
        <v>1</v>
      </c>
      <c r="L97">
        <v>4</v>
      </c>
      <c r="M97">
        <v>8</v>
      </c>
      <c r="N97">
        <v>85</v>
      </c>
      <c r="O97">
        <v>10.5</v>
      </c>
      <c r="P97" s="5">
        <f t="shared" si="14"/>
        <v>0</v>
      </c>
      <c r="Q97" s="5">
        <f>IF(Performance_Data[[#This Row],[Minutes_Played]]&gt;0,Performance_Data[[#This Row],[Assists]]*90/Performance_Data[[#This Row],[Minutes_Played]], 0)</f>
        <v>2.0930232558139537</v>
      </c>
      <c r="R97" s="5">
        <f>IF(Performance_Data[[#This Row],[Key_Passes]]&gt;0,Performance_Data[[#This Row],[Key_Passes]]*90/Performance_Data[[#This Row],[Minutes_Played]],0)</f>
        <v>0</v>
      </c>
      <c r="S97" s="5">
        <f>IF(Performance_Data[[#This Row],[Shots]]&gt;0,Performance_Data[[#This Row],[Shots]]*90/Performance_Data[[#This Row],[Minutes_Played]],0)</f>
        <v>2.0930232558139537</v>
      </c>
      <c r="T97" s="6">
        <f>IF(Performance_Data[[#This Row],[Successful_Dribbles]]&gt;0,Performance_Data[[#This Row],[Successful_Dribbles]]*90/Performance_Data[[#This Row],[Minutes_Played]],0)</f>
        <v>8.3720930232558146</v>
      </c>
      <c r="U97" s="5">
        <f>IF(Performance_Data[[#This Row],[Duels_Won]]&gt;0,Performance_Data[[#This Row],[Duels_Won]]*90/Performance_Data[[#This Row],[Minutes_Played]],0)</f>
        <v>16.744186046511629</v>
      </c>
      <c r="V97" s="5">
        <f t="shared" si="15"/>
        <v>2.2582417582417582</v>
      </c>
      <c r="W97" s="5">
        <f t="shared" si="16"/>
        <v>2.7686831440984263</v>
      </c>
      <c r="X97" s="5">
        <f t="shared" si="17"/>
        <v>7.4788069073783365</v>
      </c>
      <c r="Y97" s="5">
        <f t="shared" si="18"/>
        <v>1.8244131283998393</v>
      </c>
      <c r="Z97" s="5">
        <f t="shared" si="19"/>
        <v>8.4126446643057928</v>
      </c>
      <c r="AA97" s="5">
        <f t="shared" si="20"/>
        <v>11.466969077434195</v>
      </c>
    </row>
    <row r="98" spans="1:27" x14ac:dyDescent="0.3">
      <c r="A98" s="3" t="s">
        <v>141</v>
      </c>
      <c r="B98" s="9" t="s">
        <v>27</v>
      </c>
      <c r="C98" s="3" t="s">
        <v>28</v>
      </c>
      <c r="D98">
        <v>22</v>
      </c>
      <c r="E98" s="3" t="s">
        <v>17</v>
      </c>
      <c r="F98" s="8">
        <v>45754</v>
      </c>
      <c r="G98">
        <v>90</v>
      </c>
      <c r="H98">
        <v>1</v>
      </c>
      <c r="I98">
        <v>2</v>
      </c>
      <c r="J98">
        <v>1</v>
      </c>
      <c r="K98">
        <v>5</v>
      </c>
      <c r="L98">
        <v>3</v>
      </c>
      <c r="M98">
        <v>1</v>
      </c>
      <c r="N98">
        <v>68</v>
      </c>
      <c r="O98">
        <v>11.6</v>
      </c>
      <c r="P98" s="5">
        <f t="shared" ref="P98:P129" si="21">IF(G98&gt;0, H98*90/G98,0)</f>
        <v>1</v>
      </c>
      <c r="Q98" s="5">
        <f>IF(Performance_Data[[#This Row],[Minutes_Played]]&gt;0,Performance_Data[[#This Row],[Assists]]*90/Performance_Data[[#This Row],[Minutes_Played]], 0)</f>
        <v>2</v>
      </c>
      <c r="R98" s="5">
        <f>IF(Performance_Data[[#This Row],[Key_Passes]]&gt;0,Performance_Data[[#This Row],[Key_Passes]]*90/Performance_Data[[#This Row],[Minutes_Played]],0)</f>
        <v>1</v>
      </c>
      <c r="S98" s="5">
        <f>IF(Performance_Data[[#This Row],[Shots]]&gt;0,Performance_Data[[#This Row],[Shots]]*90/Performance_Data[[#This Row],[Minutes_Played]],0)</f>
        <v>5</v>
      </c>
      <c r="T98" s="6">
        <f>IF(Performance_Data[[#This Row],[Successful_Dribbles]]&gt;0,Performance_Data[[#This Row],[Successful_Dribbles]]*90/Performance_Data[[#This Row],[Minutes_Played]],0)</f>
        <v>3</v>
      </c>
      <c r="U98" s="5">
        <f>IF(Performance_Data[[#This Row],[Duels_Won]]&gt;0,Performance_Data[[#This Row],[Duels_Won]]*90/Performance_Data[[#This Row],[Minutes_Played]],0)</f>
        <v>1</v>
      </c>
      <c r="V98" s="5">
        <f t="shared" si="15"/>
        <v>1.7659340659340657</v>
      </c>
      <c r="W98" s="5">
        <f t="shared" si="16"/>
        <v>2.4763754517907342</v>
      </c>
      <c r="X98" s="5">
        <f t="shared" si="17"/>
        <v>6.6403453689167975</v>
      </c>
      <c r="Y98" s="5">
        <f t="shared" si="18"/>
        <v>1.7859515899383009</v>
      </c>
      <c r="Z98" s="5">
        <f t="shared" si="19"/>
        <v>8.6664908181519476</v>
      </c>
      <c r="AA98" s="5">
        <f t="shared" si="20"/>
        <v>9.9361998466649641</v>
      </c>
    </row>
    <row r="99" spans="1:27" x14ac:dyDescent="0.3">
      <c r="A99" s="3" t="s">
        <v>142</v>
      </c>
      <c r="B99" s="9" t="s">
        <v>27</v>
      </c>
      <c r="C99" s="3" t="s">
        <v>28</v>
      </c>
      <c r="D99">
        <v>22</v>
      </c>
      <c r="E99" s="3" t="s">
        <v>17</v>
      </c>
      <c r="F99" s="8">
        <v>45755</v>
      </c>
      <c r="G99">
        <v>79</v>
      </c>
      <c r="H99">
        <v>0</v>
      </c>
      <c r="I99">
        <v>1</v>
      </c>
      <c r="J99">
        <v>5</v>
      </c>
      <c r="K99">
        <v>1</v>
      </c>
      <c r="L99">
        <v>4</v>
      </c>
      <c r="M99">
        <v>6</v>
      </c>
      <c r="N99">
        <v>79</v>
      </c>
      <c r="O99">
        <v>10.3</v>
      </c>
      <c r="P99" s="5">
        <f t="shared" si="21"/>
        <v>0</v>
      </c>
      <c r="Q99" s="5">
        <f>IF(Performance_Data[[#This Row],[Minutes_Played]]&gt;0,Performance_Data[[#This Row],[Assists]]*90/Performance_Data[[#This Row],[Minutes_Played]], 0)</f>
        <v>1.139240506329114</v>
      </c>
      <c r="R99" s="5">
        <f>IF(Performance_Data[[#This Row],[Key_Passes]]&gt;0,Performance_Data[[#This Row],[Key_Passes]]*90/Performance_Data[[#This Row],[Minutes_Played]],0)</f>
        <v>5.6962025316455698</v>
      </c>
      <c r="S99" s="5">
        <f>IF(Performance_Data[[#This Row],[Shots]]&gt;0,Performance_Data[[#This Row],[Shots]]*90/Performance_Data[[#This Row],[Minutes_Played]],0)</f>
        <v>1.139240506329114</v>
      </c>
      <c r="T99" s="6">
        <f>IF(Performance_Data[[#This Row],[Successful_Dribbles]]&gt;0,Performance_Data[[#This Row],[Successful_Dribbles]]*90/Performance_Data[[#This Row],[Minutes_Played]],0)</f>
        <v>4.556962025316456</v>
      </c>
      <c r="U99" s="5">
        <f>IF(Performance_Data[[#This Row],[Duels_Won]]&gt;0,Performance_Data[[#This Row],[Duels_Won]]*90/Performance_Data[[#This Row],[Minutes_Played]],0)</f>
        <v>6.8354430379746836</v>
      </c>
      <c r="V99" s="5">
        <f t="shared" si="15"/>
        <v>0.84285714285714286</v>
      </c>
      <c r="W99" s="5">
        <f t="shared" si="16"/>
        <v>1.7811466299796339</v>
      </c>
      <c r="X99" s="5">
        <f t="shared" si="17"/>
        <v>5.4718935675536029</v>
      </c>
      <c r="Y99" s="5">
        <f t="shared" si="18"/>
        <v>2.0137996912041238</v>
      </c>
      <c r="Z99" s="5">
        <f t="shared" si="19"/>
        <v>7.7317293770613942</v>
      </c>
      <c r="AA99" s="5">
        <f t="shared" si="20"/>
        <v>10.380211531182976</v>
      </c>
    </row>
    <row r="100" spans="1:27" x14ac:dyDescent="0.3">
      <c r="A100" s="3" t="s">
        <v>143</v>
      </c>
      <c r="B100" s="9" t="s">
        <v>27</v>
      </c>
      <c r="C100" s="3" t="s">
        <v>28</v>
      </c>
      <c r="D100">
        <v>22</v>
      </c>
      <c r="E100" s="3" t="s">
        <v>17</v>
      </c>
      <c r="F100" s="8">
        <v>45756</v>
      </c>
      <c r="G100">
        <v>84</v>
      </c>
      <c r="H100">
        <v>0</v>
      </c>
      <c r="I100">
        <v>1</v>
      </c>
      <c r="J100">
        <v>3</v>
      </c>
      <c r="K100">
        <v>5</v>
      </c>
      <c r="L100">
        <v>2</v>
      </c>
      <c r="M100">
        <v>3</v>
      </c>
      <c r="N100">
        <v>90</v>
      </c>
      <c r="O100">
        <v>12</v>
      </c>
      <c r="P100" s="5">
        <f t="shared" si="21"/>
        <v>0</v>
      </c>
      <c r="Q100" s="5">
        <f>IF(Performance_Data[[#This Row],[Minutes_Played]]&gt;0,Performance_Data[[#This Row],[Assists]]*90/Performance_Data[[#This Row],[Minutes_Played]], 0)</f>
        <v>1.0714285714285714</v>
      </c>
      <c r="R100" s="5">
        <f>IF(Performance_Data[[#This Row],[Key_Passes]]&gt;0,Performance_Data[[#This Row],[Key_Passes]]*90/Performance_Data[[#This Row],[Minutes_Played]],0)</f>
        <v>3.2142857142857144</v>
      </c>
      <c r="S100" s="5">
        <f>IF(Performance_Data[[#This Row],[Shots]]&gt;0,Performance_Data[[#This Row],[Shots]]*90/Performance_Data[[#This Row],[Minutes_Played]],0)</f>
        <v>5.3571428571428568</v>
      </c>
      <c r="T100" s="6">
        <f>IF(Performance_Data[[#This Row],[Successful_Dribbles]]&gt;0,Performance_Data[[#This Row],[Successful_Dribbles]]*90/Performance_Data[[#This Row],[Minutes_Played]],0)</f>
        <v>2.1428571428571428</v>
      </c>
      <c r="U100" s="5">
        <f>IF(Performance_Data[[#This Row],[Duels_Won]]&gt;0,Performance_Data[[#This Row],[Duels_Won]]*90/Performance_Data[[#This Row],[Minutes_Played]],0)</f>
        <v>3.2142857142857144</v>
      </c>
      <c r="V100" s="5">
        <f t="shared" si="15"/>
        <v>0.84285714285714286</v>
      </c>
      <c r="W100" s="5">
        <f t="shared" si="16"/>
        <v>1.2607384667143278</v>
      </c>
      <c r="X100" s="5">
        <f t="shared" si="17"/>
        <v>3.910669077757686</v>
      </c>
      <c r="Y100" s="5">
        <f t="shared" si="18"/>
        <v>2.7178813238571848</v>
      </c>
      <c r="Z100" s="5">
        <f t="shared" si="19"/>
        <v>5.221525295428739</v>
      </c>
      <c r="AA100" s="5">
        <f t="shared" si="20"/>
        <v>8.4516401026115489</v>
      </c>
    </row>
    <row r="101" spans="1:27" x14ac:dyDescent="0.3">
      <c r="A101" s="3" t="s">
        <v>144</v>
      </c>
      <c r="B101" s="9" t="s">
        <v>27</v>
      </c>
      <c r="C101" s="3" t="s">
        <v>28</v>
      </c>
      <c r="D101">
        <v>22</v>
      </c>
      <c r="E101" s="3" t="s">
        <v>17</v>
      </c>
      <c r="F101" s="8">
        <v>45757</v>
      </c>
      <c r="G101">
        <v>73</v>
      </c>
      <c r="H101">
        <v>1</v>
      </c>
      <c r="I101">
        <v>0</v>
      </c>
      <c r="J101">
        <v>4</v>
      </c>
      <c r="K101">
        <v>1</v>
      </c>
      <c r="L101">
        <v>2</v>
      </c>
      <c r="M101">
        <v>0</v>
      </c>
      <c r="N101">
        <v>79</v>
      </c>
      <c r="O101">
        <v>10.1</v>
      </c>
      <c r="P101" s="5">
        <f t="shared" si="21"/>
        <v>1.2328767123287672</v>
      </c>
      <c r="Q101" s="5">
        <f>IF(Performance_Data[[#This Row],[Minutes_Played]]&gt;0,Performance_Data[[#This Row],[Assists]]*90/Performance_Data[[#This Row],[Minutes_Played]], 0)</f>
        <v>0</v>
      </c>
      <c r="R101" s="5">
        <f>IF(Performance_Data[[#This Row],[Key_Passes]]&gt;0,Performance_Data[[#This Row],[Key_Passes]]*90/Performance_Data[[#This Row],[Minutes_Played]],0)</f>
        <v>4.9315068493150687</v>
      </c>
      <c r="S101" s="5">
        <f>IF(Performance_Data[[#This Row],[Shots]]&gt;0,Performance_Data[[#This Row],[Shots]]*90/Performance_Data[[#This Row],[Minutes_Played]],0)</f>
        <v>1.2328767123287672</v>
      </c>
      <c r="T101" s="6">
        <f>IF(Performance_Data[[#This Row],[Successful_Dribbles]]&gt;0,Performance_Data[[#This Row],[Successful_Dribbles]]*90/Performance_Data[[#This Row],[Minutes_Played]],0)</f>
        <v>2.4657534246575343</v>
      </c>
      <c r="U101" s="5">
        <f>IF(Performance_Data[[#This Row],[Duels_Won]]&gt;0,Performance_Data[[#This Row],[Duels_Won]]*90/Performance_Data[[#This Row],[Minutes_Played]],0)</f>
        <v>0</v>
      </c>
      <c r="V101" s="5">
        <f t="shared" si="15"/>
        <v>0.44657534246575342</v>
      </c>
      <c r="W101" s="5">
        <f t="shared" si="16"/>
        <v>1.2607384667143278</v>
      </c>
      <c r="X101" s="5">
        <f t="shared" si="17"/>
        <v>2.9683990190492704</v>
      </c>
      <c r="Y101" s="5">
        <f t="shared" si="18"/>
        <v>2.9644566663229384</v>
      </c>
      <c r="Z101" s="5">
        <f t="shared" si="19"/>
        <v>4.1075331232173893</v>
      </c>
      <c r="AA101" s="5">
        <f t="shared" si="20"/>
        <v>5.5587829597544056</v>
      </c>
    </row>
    <row r="102" spans="1:27" x14ac:dyDescent="0.3">
      <c r="A102" s="3" t="s">
        <v>145</v>
      </c>
      <c r="B102" s="9" t="s">
        <v>29</v>
      </c>
      <c r="C102" s="3" t="s">
        <v>30</v>
      </c>
      <c r="D102">
        <v>23</v>
      </c>
      <c r="E102" s="3" t="s">
        <v>20</v>
      </c>
      <c r="F102" s="8">
        <v>45758</v>
      </c>
      <c r="G102">
        <v>64</v>
      </c>
      <c r="H102">
        <v>0</v>
      </c>
      <c r="I102">
        <v>1</v>
      </c>
      <c r="J102">
        <v>4</v>
      </c>
      <c r="K102">
        <v>2</v>
      </c>
      <c r="L102">
        <v>2</v>
      </c>
      <c r="M102">
        <v>9</v>
      </c>
      <c r="N102">
        <v>77</v>
      </c>
      <c r="O102">
        <v>10.6</v>
      </c>
      <c r="P102" s="5">
        <f t="shared" si="21"/>
        <v>0</v>
      </c>
      <c r="Q102" s="5">
        <f>IF(Performance_Data[[#This Row],[Minutes_Played]]&gt;0,Performance_Data[[#This Row],[Assists]]*90/Performance_Data[[#This Row],[Minutes_Played]], 0)</f>
        <v>1.40625</v>
      </c>
      <c r="R102" s="5">
        <f>IF(Performance_Data[[#This Row],[Key_Passes]]&gt;0,Performance_Data[[#This Row],[Key_Passes]]*90/Performance_Data[[#This Row],[Minutes_Played]],0)</f>
        <v>5.625</v>
      </c>
      <c r="S102" s="5">
        <f>IF(Performance_Data[[#This Row],[Shots]]&gt;0,Performance_Data[[#This Row],[Shots]]*90/Performance_Data[[#This Row],[Minutes_Played]],0)</f>
        <v>2.8125</v>
      </c>
      <c r="T102" s="6">
        <f>IF(Performance_Data[[#This Row],[Successful_Dribbles]]&gt;0,Performance_Data[[#This Row],[Successful_Dribbles]]*90/Performance_Data[[#This Row],[Minutes_Played]],0)</f>
        <v>2.8125</v>
      </c>
      <c r="U102" s="5">
        <f>IF(Performance_Data[[#This Row],[Duels_Won]]&gt;0,Performance_Data[[#This Row],[Duels_Won]]*90/Performance_Data[[#This Row],[Minutes_Played]],0)</f>
        <v>12.65625</v>
      </c>
      <c r="V102" s="5" t="str">
        <f t="shared" ref="V102:V133" si="22">IF(COUNTIF(B98:B102,B102)=5, AVERAGE(P98:P102), "")</f>
        <v/>
      </c>
      <c r="W102" s="5" t="str">
        <f t="shared" ref="W102:W133" si="23">IF(COUNTIF(B98:B102,B102)=5, AVERAGE(Q98:Q102), "")</f>
        <v/>
      </c>
      <c r="X102" s="5" t="str">
        <f t="shared" ref="X102:X133" si="24">IF(COUNTIF(B98:B102,B102)=5, AVERAGE(R98:R102), "")</f>
        <v/>
      </c>
      <c r="Y102" s="5" t="str">
        <f t="shared" ref="Y102:Y133" si="25">IF(COUNTIF(B98:B102,B102)=5, AVERAGE(S98:S102), "")</f>
        <v/>
      </c>
      <c r="Z102" s="5" t="str">
        <f t="shared" ref="Z102:Z133" si="26">IF(COUNTIF(B98:B102,B102)=5,AVERAGE(T98:T102),"")</f>
        <v/>
      </c>
      <c r="AA102" s="5" t="str">
        <f t="shared" ref="AA102:AA133" si="27">IF(COUNTIF(B98:B102,B102)=5,AVERAGE(U98:U102),"")</f>
        <v/>
      </c>
    </row>
    <row r="103" spans="1:27" x14ac:dyDescent="0.3">
      <c r="A103" s="3" t="s">
        <v>146</v>
      </c>
      <c r="B103" s="9" t="s">
        <v>29</v>
      </c>
      <c r="C103" s="3" t="s">
        <v>30</v>
      </c>
      <c r="D103">
        <v>23</v>
      </c>
      <c r="E103" s="3" t="s">
        <v>20</v>
      </c>
      <c r="F103" s="8">
        <v>45759</v>
      </c>
      <c r="G103">
        <v>71</v>
      </c>
      <c r="H103">
        <v>0</v>
      </c>
      <c r="I103">
        <v>2</v>
      </c>
      <c r="J103">
        <v>3</v>
      </c>
      <c r="K103">
        <v>3</v>
      </c>
      <c r="L103">
        <v>1</v>
      </c>
      <c r="M103">
        <v>5</v>
      </c>
      <c r="N103">
        <v>75</v>
      </c>
      <c r="O103">
        <v>9.6</v>
      </c>
      <c r="P103" s="5">
        <f t="shared" si="21"/>
        <v>0</v>
      </c>
      <c r="Q103" s="5">
        <f>IF(Performance_Data[[#This Row],[Minutes_Played]]&gt;0,Performance_Data[[#This Row],[Assists]]*90/Performance_Data[[#This Row],[Minutes_Played]], 0)</f>
        <v>2.535211267605634</v>
      </c>
      <c r="R103" s="5">
        <f>IF(Performance_Data[[#This Row],[Key_Passes]]&gt;0,Performance_Data[[#This Row],[Key_Passes]]*90/Performance_Data[[#This Row],[Minutes_Played]],0)</f>
        <v>3.8028169014084505</v>
      </c>
      <c r="S103" s="5">
        <f>IF(Performance_Data[[#This Row],[Shots]]&gt;0,Performance_Data[[#This Row],[Shots]]*90/Performance_Data[[#This Row],[Minutes_Played]],0)</f>
        <v>3.8028169014084505</v>
      </c>
      <c r="T103" s="6">
        <f>IF(Performance_Data[[#This Row],[Successful_Dribbles]]&gt;0,Performance_Data[[#This Row],[Successful_Dribbles]]*90/Performance_Data[[#This Row],[Minutes_Played]],0)</f>
        <v>1.267605633802817</v>
      </c>
      <c r="U103" s="5">
        <f>IF(Performance_Data[[#This Row],[Duels_Won]]&gt;0,Performance_Data[[#This Row],[Duels_Won]]*90/Performance_Data[[#This Row],[Minutes_Played]],0)</f>
        <v>6.3380281690140849</v>
      </c>
      <c r="V103" s="5" t="str">
        <f t="shared" si="22"/>
        <v/>
      </c>
      <c r="W103" s="5" t="str">
        <f t="shared" si="23"/>
        <v/>
      </c>
      <c r="X103" s="5" t="str">
        <f t="shared" si="24"/>
        <v/>
      </c>
      <c r="Y103" s="5" t="str">
        <f t="shared" si="25"/>
        <v/>
      </c>
      <c r="Z103" s="5" t="str">
        <f t="shared" si="26"/>
        <v/>
      </c>
      <c r="AA103" s="5" t="str">
        <f t="shared" si="27"/>
        <v/>
      </c>
    </row>
    <row r="104" spans="1:27" x14ac:dyDescent="0.3">
      <c r="A104" s="3" t="s">
        <v>147</v>
      </c>
      <c r="B104" s="9" t="s">
        <v>29</v>
      </c>
      <c r="C104" s="3" t="s">
        <v>30</v>
      </c>
      <c r="D104">
        <v>23</v>
      </c>
      <c r="E104" s="3" t="s">
        <v>20</v>
      </c>
      <c r="F104" s="8">
        <v>45760</v>
      </c>
      <c r="G104">
        <v>78</v>
      </c>
      <c r="H104">
        <v>2</v>
      </c>
      <c r="I104">
        <v>2</v>
      </c>
      <c r="J104">
        <v>5</v>
      </c>
      <c r="K104">
        <v>0</v>
      </c>
      <c r="L104">
        <v>8</v>
      </c>
      <c r="M104">
        <v>5</v>
      </c>
      <c r="N104">
        <v>85</v>
      </c>
      <c r="O104">
        <v>11.8</v>
      </c>
      <c r="P104" s="5">
        <f t="shared" si="21"/>
        <v>2.3076923076923075</v>
      </c>
      <c r="Q104" s="5">
        <f>IF(Performance_Data[[#This Row],[Minutes_Played]]&gt;0,Performance_Data[[#This Row],[Assists]]*90/Performance_Data[[#This Row],[Minutes_Played]], 0)</f>
        <v>2.3076923076923075</v>
      </c>
      <c r="R104" s="5">
        <f>IF(Performance_Data[[#This Row],[Key_Passes]]&gt;0,Performance_Data[[#This Row],[Key_Passes]]*90/Performance_Data[[#This Row],[Minutes_Played]],0)</f>
        <v>5.7692307692307692</v>
      </c>
      <c r="S104" s="5">
        <f>IF(Performance_Data[[#This Row],[Shots]]&gt;0,Performance_Data[[#This Row],[Shots]]*90/Performance_Data[[#This Row],[Minutes_Played]],0)</f>
        <v>0</v>
      </c>
      <c r="T104" s="6">
        <f>IF(Performance_Data[[#This Row],[Successful_Dribbles]]&gt;0,Performance_Data[[#This Row],[Successful_Dribbles]]*90/Performance_Data[[#This Row],[Minutes_Played]],0)</f>
        <v>9.2307692307692299</v>
      </c>
      <c r="U104" s="5">
        <f>IF(Performance_Data[[#This Row],[Duels_Won]]&gt;0,Performance_Data[[#This Row],[Duels_Won]]*90/Performance_Data[[#This Row],[Minutes_Played]],0)</f>
        <v>5.7692307692307692</v>
      </c>
      <c r="V104" s="5" t="str">
        <f t="shared" si="22"/>
        <v/>
      </c>
      <c r="W104" s="5" t="str">
        <f t="shared" si="23"/>
        <v/>
      </c>
      <c r="X104" s="5" t="str">
        <f t="shared" si="24"/>
        <v/>
      </c>
      <c r="Y104" s="5" t="str">
        <f t="shared" si="25"/>
        <v/>
      </c>
      <c r="Z104" s="5" t="str">
        <f t="shared" si="26"/>
        <v/>
      </c>
      <c r="AA104" s="5" t="str">
        <f t="shared" si="27"/>
        <v/>
      </c>
    </row>
    <row r="105" spans="1:27" x14ac:dyDescent="0.3">
      <c r="A105" s="3" t="s">
        <v>148</v>
      </c>
      <c r="B105" s="9" t="s">
        <v>29</v>
      </c>
      <c r="C105" s="3" t="s">
        <v>30</v>
      </c>
      <c r="D105">
        <v>23</v>
      </c>
      <c r="E105" s="3" t="s">
        <v>20</v>
      </c>
      <c r="F105" s="8">
        <v>45761</v>
      </c>
      <c r="G105">
        <v>67</v>
      </c>
      <c r="H105">
        <v>1</v>
      </c>
      <c r="I105">
        <v>2</v>
      </c>
      <c r="J105">
        <v>1</v>
      </c>
      <c r="K105">
        <v>6</v>
      </c>
      <c r="L105">
        <v>7</v>
      </c>
      <c r="M105">
        <v>10</v>
      </c>
      <c r="N105">
        <v>81</v>
      </c>
      <c r="O105">
        <v>10.7</v>
      </c>
      <c r="P105" s="5">
        <f t="shared" si="21"/>
        <v>1.3432835820895523</v>
      </c>
      <c r="Q105" s="5">
        <f>IF(Performance_Data[[#This Row],[Minutes_Played]]&gt;0,Performance_Data[[#This Row],[Assists]]*90/Performance_Data[[#This Row],[Minutes_Played]], 0)</f>
        <v>2.6865671641791047</v>
      </c>
      <c r="R105" s="5">
        <f>IF(Performance_Data[[#This Row],[Key_Passes]]&gt;0,Performance_Data[[#This Row],[Key_Passes]]*90/Performance_Data[[#This Row],[Minutes_Played]],0)</f>
        <v>1.3432835820895523</v>
      </c>
      <c r="S105" s="5">
        <f>IF(Performance_Data[[#This Row],[Shots]]&gt;0,Performance_Data[[#This Row],[Shots]]*90/Performance_Data[[#This Row],[Minutes_Played]],0)</f>
        <v>8.0597014925373127</v>
      </c>
      <c r="T105" s="6">
        <f>IF(Performance_Data[[#This Row],[Successful_Dribbles]]&gt;0,Performance_Data[[#This Row],[Successful_Dribbles]]*90/Performance_Data[[#This Row],[Minutes_Played]],0)</f>
        <v>9.4029850746268657</v>
      </c>
      <c r="U105" s="5">
        <f>IF(Performance_Data[[#This Row],[Duels_Won]]&gt;0,Performance_Data[[#This Row],[Duels_Won]]*90/Performance_Data[[#This Row],[Minutes_Played]],0)</f>
        <v>13.432835820895523</v>
      </c>
      <c r="V105" s="5" t="str">
        <f t="shared" si="22"/>
        <v/>
      </c>
      <c r="W105" s="5" t="str">
        <f t="shared" si="23"/>
        <v/>
      </c>
      <c r="X105" s="5" t="str">
        <f t="shared" si="24"/>
        <v/>
      </c>
      <c r="Y105" s="5" t="str">
        <f t="shared" si="25"/>
        <v/>
      </c>
      <c r="Z105" s="5" t="str">
        <f t="shared" si="26"/>
        <v/>
      </c>
      <c r="AA105" s="5" t="str">
        <f t="shared" si="27"/>
        <v/>
      </c>
    </row>
    <row r="106" spans="1:27" x14ac:dyDescent="0.3">
      <c r="A106" s="3" t="s">
        <v>149</v>
      </c>
      <c r="B106" s="9" t="s">
        <v>29</v>
      </c>
      <c r="C106" s="3" t="s">
        <v>30</v>
      </c>
      <c r="D106">
        <v>23</v>
      </c>
      <c r="E106" s="3" t="s">
        <v>20</v>
      </c>
      <c r="F106" s="8">
        <v>45762</v>
      </c>
      <c r="G106">
        <v>59</v>
      </c>
      <c r="H106">
        <v>1</v>
      </c>
      <c r="I106">
        <v>2</v>
      </c>
      <c r="J106">
        <v>3</v>
      </c>
      <c r="K106">
        <v>3</v>
      </c>
      <c r="L106">
        <v>5</v>
      </c>
      <c r="M106">
        <v>11</v>
      </c>
      <c r="N106">
        <v>88</v>
      </c>
      <c r="O106">
        <v>11.2</v>
      </c>
      <c r="P106" s="5">
        <f t="shared" si="21"/>
        <v>1.5254237288135593</v>
      </c>
      <c r="Q106" s="5">
        <f>IF(Performance_Data[[#This Row],[Minutes_Played]]&gt;0,Performance_Data[[#This Row],[Assists]]*90/Performance_Data[[#This Row],[Minutes_Played]], 0)</f>
        <v>3.0508474576271185</v>
      </c>
      <c r="R106" s="5">
        <f>IF(Performance_Data[[#This Row],[Key_Passes]]&gt;0,Performance_Data[[#This Row],[Key_Passes]]*90/Performance_Data[[#This Row],[Minutes_Played]],0)</f>
        <v>4.5762711864406782</v>
      </c>
      <c r="S106" s="5">
        <f>IF(Performance_Data[[#This Row],[Shots]]&gt;0,Performance_Data[[#This Row],[Shots]]*90/Performance_Data[[#This Row],[Minutes_Played]],0)</f>
        <v>4.5762711864406782</v>
      </c>
      <c r="T106" s="6">
        <f>IF(Performance_Data[[#This Row],[Successful_Dribbles]]&gt;0,Performance_Data[[#This Row],[Successful_Dribbles]]*90/Performance_Data[[#This Row],[Minutes_Played]],0)</f>
        <v>7.6271186440677967</v>
      </c>
      <c r="U106" s="5">
        <f>IF(Performance_Data[[#This Row],[Duels_Won]]&gt;0,Performance_Data[[#This Row],[Duels_Won]]*90/Performance_Data[[#This Row],[Minutes_Played]],0)</f>
        <v>16.779661016949152</v>
      </c>
      <c r="V106" s="5">
        <f t="shared" si="22"/>
        <v>1.0352799237190837</v>
      </c>
      <c r="W106" s="5">
        <f t="shared" si="23"/>
        <v>2.3973136394208332</v>
      </c>
      <c r="X106" s="5">
        <f t="shared" si="24"/>
        <v>4.2233204878338899</v>
      </c>
      <c r="Y106" s="5">
        <f t="shared" si="25"/>
        <v>3.8502579160772883</v>
      </c>
      <c r="Z106" s="5">
        <f t="shared" si="26"/>
        <v>6.0681957166533413</v>
      </c>
      <c r="AA106" s="5">
        <f t="shared" si="27"/>
        <v>10.995201155217904</v>
      </c>
    </row>
    <row r="107" spans="1:27" x14ac:dyDescent="0.3">
      <c r="A107" s="3" t="s">
        <v>150</v>
      </c>
      <c r="B107" s="9" t="s">
        <v>29</v>
      </c>
      <c r="C107" s="3" t="s">
        <v>30</v>
      </c>
      <c r="D107">
        <v>23</v>
      </c>
      <c r="E107" s="3" t="s">
        <v>20</v>
      </c>
      <c r="F107" s="8">
        <v>45763</v>
      </c>
      <c r="G107">
        <v>88</v>
      </c>
      <c r="H107">
        <v>1</v>
      </c>
      <c r="I107">
        <v>2</v>
      </c>
      <c r="J107">
        <v>0</v>
      </c>
      <c r="K107">
        <v>4</v>
      </c>
      <c r="L107">
        <v>5</v>
      </c>
      <c r="M107">
        <v>7</v>
      </c>
      <c r="N107">
        <v>85</v>
      </c>
      <c r="O107">
        <v>9</v>
      </c>
      <c r="P107" s="5">
        <f t="shared" si="21"/>
        <v>1.0227272727272727</v>
      </c>
      <c r="Q107" s="5">
        <f>IF(Performance_Data[[#This Row],[Minutes_Played]]&gt;0,Performance_Data[[#This Row],[Assists]]*90/Performance_Data[[#This Row],[Minutes_Played]], 0)</f>
        <v>2.0454545454545454</v>
      </c>
      <c r="R107" s="5">
        <f>IF(Performance_Data[[#This Row],[Key_Passes]]&gt;0,Performance_Data[[#This Row],[Key_Passes]]*90/Performance_Data[[#This Row],[Minutes_Played]],0)</f>
        <v>0</v>
      </c>
      <c r="S107" s="5">
        <f>IF(Performance_Data[[#This Row],[Shots]]&gt;0,Performance_Data[[#This Row],[Shots]]*90/Performance_Data[[#This Row],[Minutes_Played]],0)</f>
        <v>4.0909090909090908</v>
      </c>
      <c r="T107" s="6">
        <f>IF(Performance_Data[[#This Row],[Successful_Dribbles]]&gt;0,Performance_Data[[#This Row],[Successful_Dribbles]]*90/Performance_Data[[#This Row],[Minutes_Played]],0)</f>
        <v>5.1136363636363633</v>
      </c>
      <c r="U107" s="5">
        <f>IF(Performance_Data[[#This Row],[Duels_Won]]&gt;0,Performance_Data[[#This Row],[Duels_Won]]*90/Performance_Data[[#This Row],[Minutes_Played]],0)</f>
        <v>7.1590909090909092</v>
      </c>
      <c r="V107" s="5">
        <f t="shared" si="22"/>
        <v>1.2398253782645381</v>
      </c>
      <c r="W107" s="5">
        <f t="shared" si="23"/>
        <v>2.5251545485117424</v>
      </c>
      <c r="X107" s="5">
        <f t="shared" si="24"/>
        <v>3.0983204878338904</v>
      </c>
      <c r="Y107" s="5">
        <f t="shared" si="25"/>
        <v>4.1059397342591062</v>
      </c>
      <c r="Z107" s="5">
        <f t="shared" si="26"/>
        <v>6.5284229893806138</v>
      </c>
      <c r="AA107" s="5">
        <f t="shared" si="27"/>
        <v>9.8957693370360875</v>
      </c>
    </row>
    <row r="108" spans="1:27" x14ac:dyDescent="0.3">
      <c r="A108" s="3" t="s">
        <v>151</v>
      </c>
      <c r="B108" s="9" t="s">
        <v>29</v>
      </c>
      <c r="C108" s="3" t="s">
        <v>30</v>
      </c>
      <c r="D108">
        <v>23</v>
      </c>
      <c r="E108" s="3" t="s">
        <v>20</v>
      </c>
      <c r="F108" s="8">
        <v>45764</v>
      </c>
      <c r="G108">
        <v>74</v>
      </c>
      <c r="H108">
        <v>2</v>
      </c>
      <c r="I108">
        <v>2</v>
      </c>
      <c r="J108">
        <v>3</v>
      </c>
      <c r="K108">
        <v>1</v>
      </c>
      <c r="L108">
        <v>2</v>
      </c>
      <c r="M108">
        <v>3</v>
      </c>
      <c r="N108">
        <v>89</v>
      </c>
      <c r="O108">
        <v>9.4</v>
      </c>
      <c r="P108" s="5">
        <f t="shared" si="21"/>
        <v>2.4324324324324325</v>
      </c>
      <c r="Q108" s="5">
        <f>IF(Performance_Data[[#This Row],[Minutes_Played]]&gt;0,Performance_Data[[#This Row],[Assists]]*90/Performance_Data[[#This Row],[Minutes_Played]], 0)</f>
        <v>2.4324324324324325</v>
      </c>
      <c r="R108" s="5">
        <f>IF(Performance_Data[[#This Row],[Key_Passes]]&gt;0,Performance_Data[[#This Row],[Key_Passes]]*90/Performance_Data[[#This Row],[Minutes_Played]],0)</f>
        <v>3.6486486486486487</v>
      </c>
      <c r="S108" s="5">
        <f>IF(Performance_Data[[#This Row],[Shots]]&gt;0,Performance_Data[[#This Row],[Shots]]*90/Performance_Data[[#This Row],[Minutes_Played]],0)</f>
        <v>1.2162162162162162</v>
      </c>
      <c r="T108" s="6">
        <f>IF(Performance_Data[[#This Row],[Successful_Dribbles]]&gt;0,Performance_Data[[#This Row],[Successful_Dribbles]]*90/Performance_Data[[#This Row],[Minutes_Played]],0)</f>
        <v>2.4324324324324325</v>
      </c>
      <c r="U108" s="5">
        <f>IF(Performance_Data[[#This Row],[Duels_Won]]&gt;0,Performance_Data[[#This Row],[Duels_Won]]*90/Performance_Data[[#This Row],[Minutes_Played]],0)</f>
        <v>3.6486486486486487</v>
      </c>
      <c r="V108" s="5">
        <f t="shared" si="22"/>
        <v>1.7263118647510247</v>
      </c>
      <c r="W108" s="5">
        <f t="shared" si="23"/>
        <v>2.5045987814771018</v>
      </c>
      <c r="X108" s="5">
        <f t="shared" si="24"/>
        <v>3.0674868372819297</v>
      </c>
      <c r="Y108" s="5">
        <f t="shared" si="25"/>
        <v>3.58861959722066</v>
      </c>
      <c r="Z108" s="5">
        <f t="shared" si="26"/>
        <v>6.7613883491065376</v>
      </c>
      <c r="AA108" s="5">
        <f t="shared" si="27"/>
        <v>9.3578934329629995</v>
      </c>
    </row>
    <row r="109" spans="1:27" x14ac:dyDescent="0.3">
      <c r="A109" s="3" t="s">
        <v>152</v>
      </c>
      <c r="B109" s="9" t="s">
        <v>29</v>
      </c>
      <c r="C109" s="3" t="s">
        <v>30</v>
      </c>
      <c r="D109">
        <v>23</v>
      </c>
      <c r="E109" s="3" t="s">
        <v>20</v>
      </c>
      <c r="F109" s="8">
        <v>45765</v>
      </c>
      <c r="G109">
        <v>44</v>
      </c>
      <c r="H109">
        <v>2</v>
      </c>
      <c r="I109">
        <v>2</v>
      </c>
      <c r="J109">
        <v>0</v>
      </c>
      <c r="K109">
        <v>1</v>
      </c>
      <c r="L109">
        <v>3</v>
      </c>
      <c r="M109">
        <v>2</v>
      </c>
      <c r="N109">
        <v>83</v>
      </c>
      <c r="O109">
        <v>11.6</v>
      </c>
      <c r="P109" s="5">
        <f t="shared" si="21"/>
        <v>4.0909090909090908</v>
      </c>
      <c r="Q109" s="5">
        <f>IF(Performance_Data[[#This Row],[Minutes_Played]]&gt;0,Performance_Data[[#This Row],[Assists]]*90/Performance_Data[[#This Row],[Minutes_Played]], 0)</f>
        <v>4.0909090909090908</v>
      </c>
      <c r="R109" s="5">
        <f>IF(Performance_Data[[#This Row],[Key_Passes]]&gt;0,Performance_Data[[#This Row],[Key_Passes]]*90/Performance_Data[[#This Row],[Minutes_Played]],0)</f>
        <v>0</v>
      </c>
      <c r="S109" s="5">
        <f>IF(Performance_Data[[#This Row],[Shots]]&gt;0,Performance_Data[[#This Row],[Shots]]*90/Performance_Data[[#This Row],[Minutes_Played]],0)</f>
        <v>2.0454545454545454</v>
      </c>
      <c r="T109" s="6">
        <f>IF(Performance_Data[[#This Row],[Successful_Dribbles]]&gt;0,Performance_Data[[#This Row],[Successful_Dribbles]]*90/Performance_Data[[#This Row],[Minutes_Played]],0)</f>
        <v>6.1363636363636367</v>
      </c>
      <c r="U109" s="5">
        <f>IF(Performance_Data[[#This Row],[Duels_Won]]&gt;0,Performance_Data[[#This Row],[Duels_Won]]*90/Performance_Data[[#This Row],[Minutes_Played]],0)</f>
        <v>4.0909090909090908</v>
      </c>
      <c r="V109" s="5">
        <f t="shared" si="22"/>
        <v>2.0829552213943812</v>
      </c>
      <c r="W109" s="5">
        <f t="shared" si="23"/>
        <v>2.8612421381204585</v>
      </c>
      <c r="X109" s="5">
        <f t="shared" si="24"/>
        <v>1.9136406834357758</v>
      </c>
      <c r="Y109" s="5">
        <f t="shared" si="25"/>
        <v>3.9977105063115692</v>
      </c>
      <c r="Z109" s="5">
        <f t="shared" si="26"/>
        <v>6.1425072302254184</v>
      </c>
      <c r="AA109" s="5">
        <f t="shared" si="27"/>
        <v>9.0222290972986645</v>
      </c>
    </row>
    <row r="110" spans="1:27" x14ac:dyDescent="0.3">
      <c r="A110" s="3" t="s">
        <v>153</v>
      </c>
      <c r="B110" s="9" t="s">
        <v>29</v>
      </c>
      <c r="C110" s="3" t="s">
        <v>30</v>
      </c>
      <c r="D110">
        <v>23</v>
      </c>
      <c r="E110" s="3" t="s">
        <v>20</v>
      </c>
      <c r="F110" s="8">
        <v>45766</v>
      </c>
      <c r="G110">
        <v>77</v>
      </c>
      <c r="H110">
        <v>0</v>
      </c>
      <c r="I110">
        <v>0</v>
      </c>
      <c r="J110">
        <v>5</v>
      </c>
      <c r="K110">
        <v>3</v>
      </c>
      <c r="L110">
        <v>3</v>
      </c>
      <c r="M110">
        <v>8</v>
      </c>
      <c r="N110">
        <v>76</v>
      </c>
      <c r="O110">
        <v>9.8000000000000007</v>
      </c>
      <c r="P110" s="5">
        <f t="shared" si="21"/>
        <v>0</v>
      </c>
      <c r="Q110" s="5">
        <f>IF(Performance_Data[[#This Row],[Minutes_Played]]&gt;0,Performance_Data[[#This Row],[Assists]]*90/Performance_Data[[#This Row],[Minutes_Played]], 0)</f>
        <v>0</v>
      </c>
      <c r="R110" s="5">
        <f>IF(Performance_Data[[#This Row],[Key_Passes]]&gt;0,Performance_Data[[#This Row],[Key_Passes]]*90/Performance_Data[[#This Row],[Minutes_Played]],0)</f>
        <v>5.8441558441558445</v>
      </c>
      <c r="S110" s="5">
        <f>IF(Performance_Data[[#This Row],[Shots]]&gt;0,Performance_Data[[#This Row],[Shots]]*90/Performance_Data[[#This Row],[Minutes_Played]],0)</f>
        <v>3.5064935064935066</v>
      </c>
      <c r="T110" s="6">
        <f>IF(Performance_Data[[#This Row],[Successful_Dribbles]]&gt;0,Performance_Data[[#This Row],[Successful_Dribbles]]*90/Performance_Data[[#This Row],[Minutes_Played]],0)</f>
        <v>3.5064935064935066</v>
      </c>
      <c r="U110" s="5">
        <f>IF(Performance_Data[[#This Row],[Duels_Won]]&gt;0,Performance_Data[[#This Row],[Duels_Won]]*90/Performance_Data[[#This Row],[Minutes_Played]],0)</f>
        <v>9.3506493506493502</v>
      </c>
      <c r="V110" s="5">
        <f t="shared" si="22"/>
        <v>1.814298504976471</v>
      </c>
      <c r="W110" s="5">
        <f t="shared" si="23"/>
        <v>2.3239287052846374</v>
      </c>
      <c r="X110" s="5">
        <f t="shared" si="24"/>
        <v>2.8138151358490342</v>
      </c>
      <c r="Y110" s="5">
        <f t="shared" si="25"/>
        <v>3.0870689091028067</v>
      </c>
      <c r="Z110" s="5">
        <f t="shared" si="26"/>
        <v>4.963208916598747</v>
      </c>
      <c r="AA110" s="5">
        <f t="shared" si="27"/>
        <v>8.2057918032494293</v>
      </c>
    </row>
    <row r="111" spans="1:27" x14ac:dyDescent="0.3">
      <c r="A111" s="3" t="s">
        <v>154</v>
      </c>
      <c r="B111" s="9" t="s">
        <v>29</v>
      </c>
      <c r="C111" s="3" t="s">
        <v>30</v>
      </c>
      <c r="D111">
        <v>23</v>
      </c>
      <c r="E111" s="3" t="s">
        <v>20</v>
      </c>
      <c r="F111" s="8">
        <v>45767</v>
      </c>
      <c r="G111">
        <v>74</v>
      </c>
      <c r="H111">
        <v>1</v>
      </c>
      <c r="I111">
        <v>1</v>
      </c>
      <c r="J111">
        <v>6</v>
      </c>
      <c r="K111">
        <v>1</v>
      </c>
      <c r="L111">
        <v>0</v>
      </c>
      <c r="M111">
        <v>0</v>
      </c>
      <c r="N111">
        <v>88</v>
      </c>
      <c r="O111">
        <v>8.1999999999999993</v>
      </c>
      <c r="P111" s="5">
        <f t="shared" si="21"/>
        <v>1.2162162162162162</v>
      </c>
      <c r="Q111" s="5">
        <f>IF(Performance_Data[[#This Row],[Minutes_Played]]&gt;0,Performance_Data[[#This Row],[Assists]]*90/Performance_Data[[#This Row],[Minutes_Played]], 0)</f>
        <v>1.2162162162162162</v>
      </c>
      <c r="R111" s="5">
        <f>IF(Performance_Data[[#This Row],[Key_Passes]]&gt;0,Performance_Data[[#This Row],[Key_Passes]]*90/Performance_Data[[#This Row],[Minutes_Played]],0)</f>
        <v>7.2972972972972974</v>
      </c>
      <c r="S111" s="5">
        <f>IF(Performance_Data[[#This Row],[Shots]]&gt;0,Performance_Data[[#This Row],[Shots]]*90/Performance_Data[[#This Row],[Minutes_Played]],0)</f>
        <v>1.2162162162162162</v>
      </c>
      <c r="T111" s="6">
        <f>IF(Performance_Data[[#This Row],[Successful_Dribbles]]&gt;0,Performance_Data[[#This Row],[Successful_Dribbles]]*90/Performance_Data[[#This Row],[Minutes_Played]],0)</f>
        <v>0</v>
      </c>
      <c r="U111" s="5">
        <f>IF(Performance_Data[[#This Row],[Duels_Won]]&gt;0,Performance_Data[[#This Row],[Duels_Won]]*90/Performance_Data[[#This Row],[Minutes_Played]],0)</f>
        <v>0</v>
      </c>
      <c r="V111" s="5">
        <f t="shared" si="22"/>
        <v>1.7524570024570025</v>
      </c>
      <c r="W111" s="5">
        <f t="shared" si="23"/>
        <v>1.9570024570024569</v>
      </c>
      <c r="X111" s="5">
        <f t="shared" si="24"/>
        <v>3.358020358020358</v>
      </c>
      <c r="Y111" s="5">
        <f t="shared" si="25"/>
        <v>2.4150579150579152</v>
      </c>
      <c r="Z111" s="5">
        <f t="shared" si="26"/>
        <v>3.4377851877851873</v>
      </c>
      <c r="AA111" s="5">
        <f t="shared" si="27"/>
        <v>4.8498595998596006</v>
      </c>
    </row>
    <row r="112" spans="1:27" x14ac:dyDescent="0.3">
      <c r="A112" s="3" t="s">
        <v>155</v>
      </c>
      <c r="B112" s="9" t="s">
        <v>29</v>
      </c>
      <c r="C112" s="3" t="s">
        <v>30</v>
      </c>
      <c r="D112">
        <v>23</v>
      </c>
      <c r="E112" s="3" t="s">
        <v>20</v>
      </c>
      <c r="F112" s="8">
        <v>45768</v>
      </c>
      <c r="G112">
        <v>63</v>
      </c>
      <c r="H112">
        <v>2</v>
      </c>
      <c r="I112">
        <v>1</v>
      </c>
      <c r="J112">
        <v>0</v>
      </c>
      <c r="K112">
        <v>1</v>
      </c>
      <c r="L112">
        <v>1</v>
      </c>
      <c r="M112">
        <v>3</v>
      </c>
      <c r="N112">
        <v>85</v>
      </c>
      <c r="O112">
        <v>10.1</v>
      </c>
      <c r="P112" s="5">
        <f t="shared" si="21"/>
        <v>2.8571428571428572</v>
      </c>
      <c r="Q112" s="5">
        <f>IF(Performance_Data[[#This Row],[Minutes_Played]]&gt;0,Performance_Data[[#This Row],[Assists]]*90/Performance_Data[[#This Row],[Minutes_Played]], 0)</f>
        <v>1.4285714285714286</v>
      </c>
      <c r="R112" s="5">
        <f>IF(Performance_Data[[#This Row],[Key_Passes]]&gt;0,Performance_Data[[#This Row],[Key_Passes]]*90/Performance_Data[[#This Row],[Minutes_Played]],0)</f>
        <v>0</v>
      </c>
      <c r="S112" s="5">
        <f>IF(Performance_Data[[#This Row],[Shots]]&gt;0,Performance_Data[[#This Row],[Shots]]*90/Performance_Data[[#This Row],[Minutes_Played]],0)</f>
        <v>1.4285714285714286</v>
      </c>
      <c r="T112" s="6">
        <f>IF(Performance_Data[[#This Row],[Successful_Dribbles]]&gt;0,Performance_Data[[#This Row],[Successful_Dribbles]]*90/Performance_Data[[#This Row],[Minutes_Played]],0)</f>
        <v>1.4285714285714286</v>
      </c>
      <c r="U112" s="5">
        <f>IF(Performance_Data[[#This Row],[Duels_Won]]&gt;0,Performance_Data[[#This Row],[Duels_Won]]*90/Performance_Data[[#This Row],[Minutes_Played]],0)</f>
        <v>4.2857142857142856</v>
      </c>
      <c r="V112" s="5">
        <f t="shared" si="22"/>
        <v>2.1193401193401193</v>
      </c>
      <c r="W112" s="5">
        <f t="shared" si="23"/>
        <v>1.8336258336258335</v>
      </c>
      <c r="X112" s="5">
        <f t="shared" si="24"/>
        <v>3.358020358020358</v>
      </c>
      <c r="Y112" s="5">
        <f t="shared" si="25"/>
        <v>1.8825903825903825</v>
      </c>
      <c r="Z112" s="5">
        <f t="shared" si="26"/>
        <v>2.7007722007722004</v>
      </c>
      <c r="AA112" s="5">
        <f t="shared" si="27"/>
        <v>4.2751842751842748</v>
      </c>
    </row>
    <row r="113" spans="1:27" x14ac:dyDescent="0.3">
      <c r="A113" s="3" t="s">
        <v>156</v>
      </c>
      <c r="B113" s="9" t="s">
        <v>29</v>
      </c>
      <c r="C113" s="3" t="s">
        <v>30</v>
      </c>
      <c r="D113">
        <v>23</v>
      </c>
      <c r="E113" s="3" t="s">
        <v>20</v>
      </c>
      <c r="F113" s="8">
        <v>45769</v>
      </c>
      <c r="G113">
        <v>59</v>
      </c>
      <c r="H113">
        <v>1</v>
      </c>
      <c r="I113">
        <v>2</v>
      </c>
      <c r="J113">
        <v>5</v>
      </c>
      <c r="K113">
        <v>1</v>
      </c>
      <c r="L113">
        <v>8</v>
      </c>
      <c r="M113">
        <v>2</v>
      </c>
      <c r="N113">
        <v>69</v>
      </c>
      <c r="O113">
        <v>10.5</v>
      </c>
      <c r="P113" s="5">
        <f t="shared" si="21"/>
        <v>1.5254237288135593</v>
      </c>
      <c r="Q113" s="5">
        <f>IF(Performance_Data[[#This Row],[Minutes_Played]]&gt;0,Performance_Data[[#This Row],[Assists]]*90/Performance_Data[[#This Row],[Minutes_Played]], 0)</f>
        <v>3.0508474576271185</v>
      </c>
      <c r="R113" s="5">
        <f>IF(Performance_Data[[#This Row],[Key_Passes]]&gt;0,Performance_Data[[#This Row],[Key_Passes]]*90/Performance_Data[[#This Row],[Minutes_Played]],0)</f>
        <v>7.6271186440677967</v>
      </c>
      <c r="S113" s="5">
        <f>IF(Performance_Data[[#This Row],[Shots]]&gt;0,Performance_Data[[#This Row],[Shots]]*90/Performance_Data[[#This Row],[Minutes_Played]],0)</f>
        <v>1.5254237288135593</v>
      </c>
      <c r="T113" s="6">
        <f>IF(Performance_Data[[#This Row],[Successful_Dribbles]]&gt;0,Performance_Data[[#This Row],[Successful_Dribbles]]*90/Performance_Data[[#This Row],[Minutes_Played]],0)</f>
        <v>12.203389830508474</v>
      </c>
      <c r="U113" s="5">
        <f>IF(Performance_Data[[#This Row],[Duels_Won]]&gt;0,Performance_Data[[#This Row],[Duels_Won]]*90/Performance_Data[[#This Row],[Minutes_Played]],0)</f>
        <v>3.0508474576271185</v>
      </c>
      <c r="V113" s="5">
        <f t="shared" si="22"/>
        <v>1.9379383786163449</v>
      </c>
      <c r="W113" s="5">
        <f t="shared" si="23"/>
        <v>1.9573088386647712</v>
      </c>
      <c r="X113" s="5">
        <f t="shared" si="24"/>
        <v>4.153714357104187</v>
      </c>
      <c r="Y113" s="5">
        <f t="shared" si="25"/>
        <v>1.9444318851098512</v>
      </c>
      <c r="Z113" s="5">
        <f t="shared" si="26"/>
        <v>4.654963680387409</v>
      </c>
      <c r="AA113" s="5">
        <f t="shared" si="27"/>
        <v>4.1556240369799688</v>
      </c>
    </row>
    <row r="114" spans="1:27" x14ac:dyDescent="0.3">
      <c r="A114" s="3" t="s">
        <v>157</v>
      </c>
      <c r="B114" s="9" t="s">
        <v>29</v>
      </c>
      <c r="C114" s="3" t="s">
        <v>30</v>
      </c>
      <c r="D114">
        <v>23</v>
      </c>
      <c r="E114" s="3" t="s">
        <v>20</v>
      </c>
      <c r="F114" s="8">
        <v>45770</v>
      </c>
      <c r="G114">
        <v>88</v>
      </c>
      <c r="H114">
        <v>0</v>
      </c>
      <c r="I114">
        <v>2</v>
      </c>
      <c r="J114">
        <v>5</v>
      </c>
      <c r="K114">
        <v>3</v>
      </c>
      <c r="L114">
        <v>3</v>
      </c>
      <c r="M114">
        <v>4</v>
      </c>
      <c r="N114">
        <v>70</v>
      </c>
      <c r="O114">
        <v>10.6</v>
      </c>
      <c r="P114" s="5">
        <f t="shared" si="21"/>
        <v>0</v>
      </c>
      <c r="Q114" s="5">
        <f>IF(Performance_Data[[#This Row],[Minutes_Played]]&gt;0,Performance_Data[[#This Row],[Assists]]*90/Performance_Data[[#This Row],[Minutes_Played]], 0)</f>
        <v>2.0454545454545454</v>
      </c>
      <c r="R114" s="5">
        <f>IF(Performance_Data[[#This Row],[Key_Passes]]&gt;0,Performance_Data[[#This Row],[Key_Passes]]*90/Performance_Data[[#This Row],[Minutes_Played]],0)</f>
        <v>5.1136363636363633</v>
      </c>
      <c r="S114" s="5">
        <f>IF(Performance_Data[[#This Row],[Shots]]&gt;0,Performance_Data[[#This Row],[Shots]]*90/Performance_Data[[#This Row],[Minutes_Played]],0)</f>
        <v>3.0681818181818183</v>
      </c>
      <c r="T114" s="6">
        <f>IF(Performance_Data[[#This Row],[Successful_Dribbles]]&gt;0,Performance_Data[[#This Row],[Successful_Dribbles]]*90/Performance_Data[[#This Row],[Minutes_Played]],0)</f>
        <v>3.0681818181818183</v>
      </c>
      <c r="U114" s="5">
        <f>IF(Performance_Data[[#This Row],[Duels_Won]]&gt;0,Performance_Data[[#This Row],[Duels_Won]]*90/Performance_Data[[#This Row],[Minutes_Played]],0)</f>
        <v>4.0909090909090908</v>
      </c>
      <c r="V114" s="5">
        <f t="shared" si="22"/>
        <v>1.1197565604345265</v>
      </c>
      <c r="W114" s="5">
        <f t="shared" si="23"/>
        <v>1.5482179295738618</v>
      </c>
      <c r="X114" s="5">
        <f t="shared" si="24"/>
        <v>5.1764416298314604</v>
      </c>
      <c r="Y114" s="5">
        <f t="shared" si="25"/>
        <v>2.148977339655306</v>
      </c>
      <c r="Z114" s="5">
        <f t="shared" si="26"/>
        <v>4.0413273167510457</v>
      </c>
      <c r="AA114" s="5">
        <f t="shared" si="27"/>
        <v>4.1556240369799688</v>
      </c>
    </row>
    <row r="115" spans="1:27" x14ac:dyDescent="0.3">
      <c r="A115" s="3" t="s">
        <v>158</v>
      </c>
      <c r="B115" s="9" t="s">
        <v>29</v>
      </c>
      <c r="C115" s="3" t="s">
        <v>30</v>
      </c>
      <c r="D115">
        <v>23</v>
      </c>
      <c r="E115" s="3" t="s">
        <v>20</v>
      </c>
      <c r="F115" s="8">
        <v>45771</v>
      </c>
      <c r="G115">
        <v>82</v>
      </c>
      <c r="H115">
        <v>1</v>
      </c>
      <c r="I115">
        <v>1</v>
      </c>
      <c r="J115">
        <v>4</v>
      </c>
      <c r="K115">
        <v>5</v>
      </c>
      <c r="L115">
        <v>0</v>
      </c>
      <c r="M115">
        <v>1</v>
      </c>
      <c r="N115">
        <v>66</v>
      </c>
      <c r="O115">
        <v>11</v>
      </c>
      <c r="P115" s="5">
        <f t="shared" si="21"/>
        <v>1.0975609756097562</v>
      </c>
      <c r="Q115" s="5">
        <f>IF(Performance_Data[[#This Row],[Minutes_Played]]&gt;0,Performance_Data[[#This Row],[Assists]]*90/Performance_Data[[#This Row],[Minutes_Played]], 0)</f>
        <v>1.0975609756097562</v>
      </c>
      <c r="R115" s="5">
        <f>IF(Performance_Data[[#This Row],[Key_Passes]]&gt;0,Performance_Data[[#This Row],[Key_Passes]]*90/Performance_Data[[#This Row],[Minutes_Played]],0)</f>
        <v>4.3902439024390247</v>
      </c>
      <c r="S115" s="5">
        <f>IF(Performance_Data[[#This Row],[Shots]]&gt;0,Performance_Data[[#This Row],[Shots]]*90/Performance_Data[[#This Row],[Minutes_Played]],0)</f>
        <v>5.4878048780487809</v>
      </c>
      <c r="T115" s="6">
        <f>IF(Performance_Data[[#This Row],[Successful_Dribbles]]&gt;0,Performance_Data[[#This Row],[Successful_Dribbles]]*90/Performance_Data[[#This Row],[Minutes_Played]],0)</f>
        <v>0</v>
      </c>
      <c r="U115" s="5">
        <f>IF(Performance_Data[[#This Row],[Duels_Won]]&gt;0,Performance_Data[[#This Row],[Duels_Won]]*90/Performance_Data[[#This Row],[Minutes_Played]],0)</f>
        <v>1.0975609756097562</v>
      </c>
      <c r="V115" s="5">
        <f t="shared" si="22"/>
        <v>1.3392687555564777</v>
      </c>
      <c r="W115" s="5">
        <f t="shared" si="23"/>
        <v>1.767730124695813</v>
      </c>
      <c r="X115" s="5">
        <f t="shared" si="24"/>
        <v>4.8856592414880966</v>
      </c>
      <c r="Y115" s="5">
        <f t="shared" si="25"/>
        <v>2.5452396139663604</v>
      </c>
      <c r="Z115" s="5">
        <f t="shared" si="26"/>
        <v>3.3400286154523444</v>
      </c>
      <c r="AA115" s="5">
        <f t="shared" si="27"/>
        <v>2.5050063619720504</v>
      </c>
    </row>
    <row r="116" spans="1:27" x14ac:dyDescent="0.3">
      <c r="A116" s="3" t="s">
        <v>159</v>
      </c>
      <c r="B116" s="9" t="s">
        <v>29</v>
      </c>
      <c r="C116" s="3" t="s">
        <v>30</v>
      </c>
      <c r="D116">
        <v>23</v>
      </c>
      <c r="E116" s="3" t="s">
        <v>20</v>
      </c>
      <c r="F116" s="8">
        <v>45772</v>
      </c>
      <c r="G116">
        <v>52</v>
      </c>
      <c r="H116">
        <v>1</v>
      </c>
      <c r="I116">
        <v>2</v>
      </c>
      <c r="J116">
        <v>5</v>
      </c>
      <c r="K116">
        <v>1</v>
      </c>
      <c r="L116">
        <v>6</v>
      </c>
      <c r="M116">
        <v>1</v>
      </c>
      <c r="N116">
        <v>89</v>
      </c>
      <c r="O116">
        <v>10.8</v>
      </c>
      <c r="P116" s="5">
        <f t="shared" si="21"/>
        <v>1.7307692307692308</v>
      </c>
      <c r="Q116" s="5">
        <f>IF(Performance_Data[[#This Row],[Minutes_Played]]&gt;0,Performance_Data[[#This Row],[Assists]]*90/Performance_Data[[#This Row],[Minutes_Played]], 0)</f>
        <v>3.4615384615384617</v>
      </c>
      <c r="R116" s="5">
        <f>IF(Performance_Data[[#This Row],[Key_Passes]]&gt;0,Performance_Data[[#This Row],[Key_Passes]]*90/Performance_Data[[#This Row],[Minutes_Played]],0)</f>
        <v>8.6538461538461533</v>
      </c>
      <c r="S116" s="5">
        <f>IF(Performance_Data[[#This Row],[Shots]]&gt;0,Performance_Data[[#This Row],[Shots]]*90/Performance_Data[[#This Row],[Minutes_Played]],0)</f>
        <v>1.7307692307692308</v>
      </c>
      <c r="T116" s="6">
        <f>IF(Performance_Data[[#This Row],[Successful_Dribbles]]&gt;0,Performance_Data[[#This Row],[Successful_Dribbles]]*90/Performance_Data[[#This Row],[Minutes_Played]],0)</f>
        <v>10.384615384615385</v>
      </c>
      <c r="U116" s="5">
        <f>IF(Performance_Data[[#This Row],[Duels_Won]]&gt;0,Performance_Data[[#This Row],[Duels_Won]]*90/Performance_Data[[#This Row],[Minutes_Played]],0)</f>
        <v>1.7307692307692308</v>
      </c>
      <c r="V116" s="5">
        <f t="shared" si="22"/>
        <v>1.4421793584670808</v>
      </c>
      <c r="W116" s="5">
        <f t="shared" si="23"/>
        <v>2.2167945737602621</v>
      </c>
      <c r="X116" s="5">
        <f t="shared" si="24"/>
        <v>5.1569690127978678</v>
      </c>
      <c r="Y116" s="5">
        <f t="shared" si="25"/>
        <v>2.6481502168769637</v>
      </c>
      <c r="Z116" s="5">
        <f t="shared" si="26"/>
        <v>5.416951692375422</v>
      </c>
      <c r="AA116" s="5">
        <f t="shared" si="27"/>
        <v>2.8511602081258962</v>
      </c>
    </row>
    <row r="117" spans="1:27" x14ac:dyDescent="0.3">
      <c r="A117" s="3" t="s">
        <v>160</v>
      </c>
      <c r="B117" s="9" t="s">
        <v>29</v>
      </c>
      <c r="C117" s="3" t="s">
        <v>30</v>
      </c>
      <c r="D117">
        <v>23</v>
      </c>
      <c r="E117" s="3" t="s">
        <v>20</v>
      </c>
      <c r="F117" s="8">
        <v>45773</v>
      </c>
      <c r="G117">
        <v>72</v>
      </c>
      <c r="H117">
        <v>0</v>
      </c>
      <c r="I117">
        <v>2</v>
      </c>
      <c r="J117">
        <v>6</v>
      </c>
      <c r="K117">
        <v>4</v>
      </c>
      <c r="L117">
        <v>2</v>
      </c>
      <c r="M117">
        <v>8</v>
      </c>
      <c r="N117">
        <v>77</v>
      </c>
      <c r="O117">
        <v>10.6</v>
      </c>
      <c r="P117" s="5">
        <f t="shared" si="21"/>
        <v>0</v>
      </c>
      <c r="Q117" s="5">
        <f>IF(Performance_Data[[#This Row],[Minutes_Played]]&gt;0,Performance_Data[[#This Row],[Assists]]*90/Performance_Data[[#This Row],[Minutes_Played]], 0)</f>
        <v>2.5</v>
      </c>
      <c r="R117" s="5">
        <f>IF(Performance_Data[[#This Row],[Key_Passes]]&gt;0,Performance_Data[[#This Row],[Key_Passes]]*90/Performance_Data[[#This Row],[Minutes_Played]],0)</f>
        <v>7.5</v>
      </c>
      <c r="S117" s="5">
        <f>IF(Performance_Data[[#This Row],[Shots]]&gt;0,Performance_Data[[#This Row],[Shots]]*90/Performance_Data[[#This Row],[Minutes_Played]],0)</f>
        <v>5</v>
      </c>
      <c r="T117" s="6">
        <f>IF(Performance_Data[[#This Row],[Successful_Dribbles]]&gt;0,Performance_Data[[#This Row],[Successful_Dribbles]]*90/Performance_Data[[#This Row],[Minutes_Played]],0)</f>
        <v>2.5</v>
      </c>
      <c r="U117" s="5">
        <f>IF(Performance_Data[[#This Row],[Duels_Won]]&gt;0,Performance_Data[[#This Row],[Duels_Won]]*90/Performance_Data[[#This Row],[Minutes_Played]],0)</f>
        <v>10</v>
      </c>
      <c r="V117" s="5">
        <f t="shared" si="22"/>
        <v>0.87075078703850939</v>
      </c>
      <c r="W117" s="5">
        <f t="shared" si="23"/>
        <v>2.4310802880459765</v>
      </c>
      <c r="X117" s="5">
        <f t="shared" si="24"/>
        <v>6.6569690127978678</v>
      </c>
      <c r="Y117" s="5">
        <f t="shared" si="25"/>
        <v>3.3624359311626777</v>
      </c>
      <c r="Z117" s="5">
        <f t="shared" si="26"/>
        <v>5.6312374066611355</v>
      </c>
      <c r="AA117" s="5">
        <f t="shared" si="27"/>
        <v>3.9940173509830394</v>
      </c>
    </row>
    <row r="118" spans="1:27" x14ac:dyDescent="0.3">
      <c r="A118" s="3" t="s">
        <v>161</v>
      </c>
      <c r="B118" s="9" t="s">
        <v>29</v>
      </c>
      <c r="C118" s="3" t="s">
        <v>30</v>
      </c>
      <c r="D118">
        <v>23</v>
      </c>
      <c r="E118" s="3" t="s">
        <v>20</v>
      </c>
      <c r="F118" s="8">
        <v>45774</v>
      </c>
      <c r="G118">
        <v>70</v>
      </c>
      <c r="H118">
        <v>2</v>
      </c>
      <c r="I118">
        <v>0</v>
      </c>
      <c r="J118">
        <v>0</v>
      </c>
      <c r="K118">
        <v>1</v>
      </c>
      <c r="L118">
        <v>6</v>
      </c>
      <c r="M118">
        <v>6</v>
      </c>
      <c r="N118">
        <v>72</v>
      </c>
      <c r="O118">
        <v>8</v>
      </c>
      <c r="P118" s="5">
        <f t="shared" si="21"/>
        <v>2.5714285714285716</v>
      </c>
      <c r="Q118" s="5">
        <f>IF(Performance_Data[[#This Row],[Minutes_Played]]&gt;0,Performance_Data[[#This Row],[Assists]]*90/Performance_Data[[#This Row],[Minutes_Played]], 0)</f>
        <v>0</v>
      </c>
      <c r="R118" s="5">
        <f>IF(Performance_Data[[#This Row],[Key_Passes]]&gt;0,Performance_Data[[#This Row],[Key_Passes]]*90/Performance_Data[[#This Row],[Minutes_Played]],0)</f>
        <v>0</v>
      </c>
      <c r="S118" s="5">
        <f>IF(Performance_Data[[#This Row],[Shots]]&gt;0,Performance_Data[[#This Row],[Shots]]*90/Performance_Data[[#This Row],[Minutes_Played]],0)</f>
        <v>1.2857142857142858</v>
      </c>
      <c r="T118" s="6">
        <f>IF(Performance_Data[[#This Row],[Successful_Dribbles]]&gt;0,Performance_Data[[#This Row],[Successful_Dribbles]]*90/Performance_Data[[#This Row],[Minutes_Played]],0)</f>
        <v>7.7142857142857144</v>
      </c>
      <c r="U118" s="5">
        <f>IF(Performance_Data[[#This Row],[Duels_Won]]&gt;0,Performance_Data[[#This Row],[Duels_Won]]*90/Performance_Data[[#This Row],[Minutes_Played]],0)</f>
        <v>7.7142857142857144</v>
      </c>
      <c r="V118" s="5">
        <f t="shared" si="22"/>
        <v>1.0799517555615119</v>
      </c>
      <c r="W118" s="5">
        <f t="shared" si="23"/>
        <v>1.8209107965205527</v>
      </c>
      <c r="X118" s="5">
        <f t="shared" si="24"/>
        <v>5.1315452839843081</v>
      </c>
      <c r="Y118" s="5">
        <f t="shared" si="25"/>
        <v>3.3144940425428233</v>
      </c>
      <c r="Z118" s="5">
        <f t="shared" si="26"/>
        <v>4.7334165834165836</v>
      </c>
      <c r="AA118" s="5">
        <f t="shared" si="27"/>
        <v>4.9267050023147592</v>
      </c>
    </row>
    <row r="119" spans="1:27" x14ac:dyDescent="0.3">
      <c r="A119" s="3" t="s">
        <v>162</v>
      </c>
      <c r="B119" s="9" t="s">
        <v>29</v>
      </c>
      <c r="C119" s="3" t="s">
        <v>30</v>
      </c>
      <c r="D119">
        <v>23</v>
      </c>
      <c r="E119" s="3" t="s">
        <v>20</v>
      </c>
      <c r="F119" s="8">
        <v>45775</v>
      </c>
      <c r="G119">
        <v>60</v>
      </c>
      <c r="H119">
        <v>1</v>
      </c>
      <c r="I119">
        <v>2</v>
      </c>
      <c r="J119">
        <v>5</v>
      </c>
      <c r="K119">
        <v>6</v>
      </c>
      <c r="L119">
        <v>3</v>
      </c>
      <c r="M119">
        <v>1</v>
      </c>
      <c r="N119">
        <v>92</v>
      </c>
      <c r="O119">
        <v>9.3000000000000007</v>
      </c>
      <c r="P119" s="5">
        <f t="shared" si="21"/>
        <v>1.5</v>
      </c>
      <c r="Q119" s="5">
        <f>IF(Performance_Data[[#This Row],[Minutes_Played]]&gt;0,Performance_Data[[#This Row],[Assists]]*90/Performance_Data[[#This Row],[Minutes_Played]], 0)</f>
        <v>3</v>
      </c>
      <c r="R119" s="5">
        <f>IF(Performance_Data[[#This Row],[Key_Passes]]&gt;0,Performance_Data[[#This Row],[Key_Passes]]*90/Performance_Data[[#This Row],[Minutes_Played]],0)</f>
        <v>7.5</v>
      </c>
      <c r="S119" s="5">
        <f>IF(Performance_Data[[#This Row],[Shots]]&gt;0,Performance_Data[[#This Row],[Shots]]*90/Performance_Data[[#This Row],[Minutes_Played]],0)</f>
        <v>9</v>
      </c>
      <c r="T119" s="6">
        <f>IF(Performance_Data[[#This Row],[Successful_Dribbles]]&gt;0,Performance_Data[[#This Row],[Successful_Dribbles]]*90/Performance_Data[[#This Row],[Minutes_Played]],0)</f>
        <v>4.5</v>
      </c>
      <c r="U119" s="5">
        <f>IF(Performance_Data[[#This Row],[Duels_Won]]&gt;0,Performance_Data[[#This Row],[Duels_Won]]*90/Performance_Data[[#This Row],[Minutes_Played]],0)</f>
        <v>1.5</v>
      </c>
      <c r="V119" s="5">
        <f t="shared" si="22"/>
        <v>1.3799517555615117</v>
      </c>
      <c r="W119" s="5">
        <f t="shared" si="23"/>
        <v>2.0118198874296436</v>
      </c>
      <c r="X119" s="5">
        <f t="shared" si="24"/>
        <v>5.6088180112570356</v>
      </c>
      <c r="Y119" s="5">
        <f t="shared" si="25"/>
        <v>4.5008576789064589</v>
      </c>
      <c r="Z119" s="5">
        <f t="shared" si="26"/>
        <v>5.0197802197802197</v>
      </c>
      <c r="AA119" s="5">
        <f t="shared" si="27"/>
        <v>4.4085231841329406</v>
      </c>
    </row>
    <row r="120" spans="1:27" x14ac:dyDescent="0.3">
      <c r="A120" s="3" t="s">
        <v>163</v>
      </c>
      <c r="B120" s="9" t="s">
        <v>29</v>
      </c>
      <c r="C120" s="3" t="s">
        <v>30</v>
      </c>
      <c r="D120">
        <v>23</v>
      </c>
      <c r="E120" s="3" t="s">
        <v>20</v>
      </c>
      <c r="F120" s="8">
        <v>45776</v>
      </c>
      <c r="G120">
        <v>37</v>
      </c>
      <c r="H120">
        <v>1</v>
      </c>
      <c r="I120">
        <v>0</v>
      </c>
      <c r="J120">
        <v>4</v>
      </c>
      <c r="K120">
        <v>6</v>
      </c>
      <c r="L120">
        <v>8</v>
      </c>
      <c r="M120">
        <v>5</v>
      </c>
      <c r="N120">
        <v>80</v>
      </c>
      <c r="O120">
        <v>10.3</v>
      </c>
      <c r="P120" s="5">
        <f t="shared" si="21"/>
        <v>2.4324324324324325</v>
      </c>
      <c r="Q120" s="5">
        <f>IF(Performance_Data[[#This Row],[Minutes_Played]]&gt;0,Performance_Data[[#This Row],[Assists]]*90/Performance_Data[[#This Row],[Minutes_Played]], 0)</f>
        <v>0</v>
      </c>
      <c r="R120" s="5">
        <f>IF(Performance_Data[[#This Row],[Key_Passes]]&gt;0,Performance_Data[[#This Row],[Key_Passes]]*90/Performance_Data[[#This Row],[Minutes_Played]],0)</f>
        <v>9.7297297297297298</v>
      </c>
      <c r="S120" s="5">
        <f>IF(Performance_Data[[#This Row],[Shots]]&gt;0,Performance_Data[[#This Row],[Shots]]*90/Performance_Data[[#This Row],[Minutes_Played]],0)</f>
        <v>14.594594594594595</v>
      </c>
      <c r="T120" s="6">
        <f>IF(Performance_Data[[#This Row],[Successful_Dribbles]]&gt;0,Performance_Data[[#This Row],[Successful_Dribbles]]*90/Performance_Data[[#This Row],[Minutes_Played]],0)</f>
        <v>19.45945945945946</v>
      </c>
      <c r="U120" s="5">
        <f>IF(Performance_Data[[#This Row],[Duels_Won]]&gt;0,Performance_Data[[#This Row],[Duels_Won]]*90/Performance_Data[[#This Row],[Minutes_Played]],0)</f>
        <v>12.162162162162161</v>
      </c>
      <c r="V120" s="5">
        <f t="shared" si="22"/>
        <v>1.6469260469260469</v>
      </c>
      <c r="W120" s="5">
        <f t="shared" si="23"/>
        <v>1.7923076923076924</v>
      </c>
      <c r="X120" s="5">
        <f t="shared" si="24"/>
        <v>6.6767151767151773</v>
      </c>
      <c r="Y120" s="5">
        <f t="shared" si="25"/>
        <v>6.3222156222156229</v>
      </c>
      <c r="Z120" s="5">
        <f t="shared" si="26"/>
        <v>8.9116721116721127</v>
      </c>
      <c r="AA120" s="5">
        <f t="shared" si="27"/>
        <v>6.6214434214434217</v>
      </c>
    </row>
    <row r="121" spans="1:27" x14ac:dyDescent="0.3">
      <c r="A121" s="3" t="s">
        <v>164</v>
      </c>
      <c r="B121" s="9" t="s">
        <v>29</v>
      </c>
      <c r="C121" s="3" t="s">
        <v>30</v>
      </c>
      <c r="D121">
        <v>23</v>
      </c>
      <c r="E121" s="3" t="s">
        <v>20</v>
      </c>
      <c r="F121" s="8">
        <v>45777</v>
      </c>
      <c r="G121">
        <v>77</v>
      </c>
      <c r="H121">
        <v>1</v>
      </c>
      <c r="I121">
        <v>2</v>
      </c>
      <c r="J121">
        <v>3</v>
      </c>
      <c r="K121">
        <v>6</v>
      </c>
      <c r="L121">
        <v>8</v>
      </c>
      <c r="M121">
        <v>8</v>
      </c>
      <c r="N121">
        <v>84</v>
      </c>
      <c r="O121">
        <v>8</v>
      </c>
      <c r="P121" s="5">
        <f t="shared" si="21"/>
        <v>1.1688311688311688</v>
      </c>
      <c r="Q121" s="5">
        <f>IF(Performance_Data[[#This Row],[Minutes_Played]]&gt;0,Performance_Data[[#This Row],[Assists]]*90/Performance_Data[[#This Row],[Minutes_Played]], 0)</f>
        <v>2.3376623376623376</v>
      </c>
      <c r="R121" s="5">
        <f>IF(Performance_Data[[#This Row],[Key_Passes]]&gt;0,Performance_Data[[#This Row],[Key_Passes]]*90/Performance_Data[[#This Row],[Minutes_Played]],0)</f>
        <v>3.5064935064935066</v>
      </c>
      <c r="S121" s="5">
        <f>IF(Performance_Data[[#This Row],[Shots]]&gt;0,Performance_Data[[#This Row],[Shots]]*90/Performance_Data[[#This Row],[Minutes_Played]],0)</f>
        <v>7.0129870129870131</v>
      </c>
      <c r="T121" s="6">
        <f>IF(Performance_Data[[#This Row],[Successful_Dribbles]]&gt;0,Performance_Data[[#This Row],[Successful_Dribbles]]*90/Performance_Data[[#This Row],[Minutes_Played]],0)</f>
        <v>9.3506493506493502</v>
      </c>
      <c r="U121" s="5">
        <f>IF(Performance_Data[[#This Row],[Duels_Won]]&gt;0,Performance_Data[[#This Row],[Duels_Won]]*90/Performance_Data[[#This Row],[Minutes_Played]],0)</f>
        <v>9.3506493506493502</v>
      </c>
      <c r="V121" s="5">
        <f t="shared" si="22"/>
        <v>1.5345384345384345</v>
      </c>
      <c r="W121" s="5">
        <f t="shared" si="23"/>
        <v>1.5675324675324673</v>
      </c>
      <c r="X121" s="5">
        <f t="shared" si="24"/>
        <v>5.6472446472446469</v>
      </c>
      <c r="Y121" s="5">
        <f t="shared" si="25"/>
        <v>7.3786591786591789</v>
      </c>
      <c r="Z121" s="5">
        <f t="shared" si="26"/>
        <v>8.704878904878905</v>
      </c>
      <c r="AA121" s="5">
        <f t="shared" si="27"/>
        <v>8.1454194454194457</v>
      </c>
    </row>
    <row r="122" spans="1:27" x14ac:dyDescent="0.3">
      <c r="A122" s="3" t="s">
        <v>165</v>
      </c>
      <c r="B122" s="9" t="s">
        <v>31</v>
      </c>
      <c r="C122" s="3" t="s">
        <v>32</v>
      </c>
      <c r="D122">
        <v>20</v>
      </c>
      <c r="E122" s="3" t="s">
        <v>23</v>
      </c>
      <c r="F122" s="8">
        <v>45778</v>
      </c>
      <c r="G122">
        <v>79</v>
      </c>
      <c r="H122">
        <v>2</v>
      </c>
      <c r="I122">
        <v>2</v>
      </c>
      <c r="J122">
        <v>3</v>
      </c>
      <c r="K122">
        <v>2</v>
      </c>
      <c r="L122">
        <v>2</v>
      </c>
      <c r="M122">
        <v>6</v>
      </c>
      <c r="N122">
        <v>73</v>
      </c>
      <c r="O122">
        <v>10.4</v>
      </c>
      <c r="P122" s="5">
        <f t="shared" si="21"/>
        <v>2.278481012658228</v>
      </c>
      <c r="Q122" s="5">
        <f>IF(Performance_Data[[#This Row],[Minutes_Played]]&gt;0,Performance_Data[[#This Row],[Assists]]*90/Performance_Data[[#This Row],[Minutes_Played]], 0)</f>
        <v>2.278481012658228</v>
      </c>
      <c r="R122" s="5">
        <f>IF(Performance_Data[[#This Row],[Key_Passes]]&gt;0,Performance_Data[[#This Row],[Key_Passes]]*90/Performance_Data[[#This Row],[Minutes_Played]],0)</f>
        <v>3.4177215189873418</v>
      </c>
      <c r="S122" s="5">
        <f>IF(Performance_Data[[#This Row],[Shots]]&gt;0,Performance_Data[[#This Row],[Shots]]*90/Performance_Data[[#This Row],[Minutes_Played]],0)</f>
        <v>2.278481012658228</v>
      </c>
      <c r="T122" s="6">
        <f>IF(Performance_Data[[#This Row],[Successful_Dribbles]]&gt;0,Performance_Data[[#This Row],[Successful_Dribbles]]*90/Performance_Data[[#This Row],[Minutes_Played]],0)</f>
        <v>2.278481012658228</v>
      </c>
      <c r="U122" s="5">
        <f>IF(Performance_Data[[#This Row],[Duels_Won]]&gt;0,Performance_Data[[#This Row],[Duels_Won]]*90/Performance_Data[[#This Row],[Minutes_Played]],0)</f>
        <v>6.8354430379746836</v>
      </c>
      <c r="V122" s="5" t="str">
        <f t="shared" si="22"/>
        <v/>
      </c>
      <c r="W122" s="5" t="str">
        <f t="shared" si="23"/>
        <v/>
      </c>
      <c r="X122" s="5" t="str">
        <f t="shared" si="24"/>
        <v/>
      </c>
      <c r="Y122" s="5" t="str">
        <f t="shared" si="25"/>
        <v/>
      </c>
      <c r="Z122" s="5" t="str">
        <f t="shared" si="26"/>
        <v/>
      </c>
      <c r="AA122" s="5" t="str">
        <f t="shared" si="27"/>
        <v/>
      </c>
    </row>
    <row r="123" spans="1:27" x14ac:dyDescent="0.3">
      <c r="A123" s="3" t="s">
        <v>166</v>
      </c>
      <c r="B123" s="9" t="s">
        <v>31</v>
      </c>
      <c r="C123" s="3" t="s">
        <v>32</v>
      </c>
      <c r="D123">
        <v>20</v>
      </c>
      <c r="E123" s="3" t="s">
        <v>23</v>
      </c>
      <c r="F123" s="8">
        <v>45779</v>
      </c>
      <c r="G123">
        <v>59</v>
      </c>
      <c r="H123">
        <v>2</v>
      </c>
      <c r="I123">
        <v>2</v>
      </c>
      <c r="J123">
        <v>2</v>
      </c>
      <c r="K123">
        <v>2</v>
      </c>
      <c r="L123">
        <v>5</v>
      </c>
      <c r="M123">
        <v>11</v>
      </c>
      <c r="N123">
        <v>68</v>
      </c>
      <c r="O123">
        <v>11.8</v>
      </c>
      <c r="P123" s="5">
        <f t="shared" si="21"/>
        <v>3.0508474576271185</v>
      </c>
      <c r="Q123" s="5">
        <f>IF(Performance_Data[[#This Row],[Minutes_Played]]&gt;0,Performance_Data[[#This Row],[Assists]]*90/Performance_Data[[#This Row],[Minutes_Played]], 0)</f>
        <v>3.0508474576271185</v>
      </c>
      <c r="R123" s="5">
        <f>IF(Performance_Data[[#This Row],[Key_Passes]]&gt;0,Performance_Data[[#This Row],[Key_Passes]]*90/Performance_Data[[#This Row],[Minutes_Played]],0)</f>
        <v>3.0508474576271185</v>
      </c>
      <c r="S123" s="5">
        <f>IF(Performance_Data[[#This Row],[Shots]]&gt;0,Performance_Data[[#This Row],[Shots]]*90/Performance_Data[[#This Row],[Minutes_Played]],0)</f>
        <v>3.0508474576271185</v>
      </c>
      <c r="T123" s="6">
        <f>IF(Performance_Data[[#This Row],[Successful_Dribbles]]&gt;0,Performance_Data[[#This Row],[Successful_Dribbles]]*90/Performance_Data[[#This Row],[Minutes_Played]],0)</f>
        <v>7.6271186440677967</v>
      </c>
      <c r="U123" s="5">
        <f>IF(Performance_Data[[#This Row],[Duels_Won]]&gt;0,Performance_Data[[#This Row],[Duels_Won]]*90/Performance_Data[[#This Row],[Minutes_Played]],0)</f>
        <v>16.779661016949152</v>
      </c>
      <c r="V123" s="5" t="str">
        <f t="shared" si="22"/>
        <v/>
      </c>
      <c r="W123" s="5" t="str">
        <f t="shared" si="23"/>
        <v/>
      </c>
      <c r="X123" s="5" t="str">
        <f t="shared" si="24"/>
        <v/>
      </c>
      <c r="Y123" s="5" t="str">
        <f t="shared" si="25"/>
        <v/>
      </c>
      <c r="Z123" s="5" t="str">
        <f t="shared" si="26"/>
        <v/>
      </c>
      <c r="AA123" s="5" t="str">
        <f t="shared" si="27"/>
        <v/>
      </c>
    </row>
    <row r="124" spans="1:27" x14ac:dyDescent="0.3">
      <c r="A124" s="3" t="s">
        <v>167</v>
      </c>
      <c r="B124" s="9" t="s">
        <v>31</v>
      </c>
      <c r="C124" s="3" t="s">
        <v>32</v>
      </c>
      <c r="D124">
        <v>20</v>
      </c>
      <c r="E124" s="3" t="s">
        <v>23</v>
      </c>
      <c r="F124" s="8">
        <v>45780</v>
      </c>
      <c r="G124">
        <v>77</v>
      </c>
      <c r="H124">
        <v>2</v>
      </c>
      <c r="I124">
        <v>1</v>
      </c>
      <c r="J124">
        <v>4</v>
      </c>
      <c r="K124">
        <v>6</v>
      </c>
      <c r="L124">
        <v>0</v>
      </c>
      <c r="M124">
        <v>8</v>
      </c>
      <c r="N124">
        <v>81</v>
      </c>
      <c r="O124">
        <v>9.9</v>
      </c>
      <c r="P124" s="5">
        <f t="shared" si="21"/>
        <v>2.3376623376623376</v>
      </c>
      <c r="Q124" s="5">
        <f>IF(Performance_Data[[#This Row],[Minutes_Played]]&gt;0,Performance_Data[[#This Row],[Assists]]*90/Performance_Data[[#This Row],[Minutes_Played]], 0)</f>
        <v>1.1688311688311688</v>
      </c>
      <c r="R124" s="5">
        <f>IF(Performance_Data[[#This Row],[Key_Passes]]&gt;0,Performance_Data[[#This Row],[Key_Passes]]*90/Performance_Data[[#This Row],[Minutes_Played]],0)</f>
        <v>4.6753246753246751</v>
      </c>
      <c r="S124" s="5">
        <f>IF(Performance_Data[[#This Row],[Shots]]&gt;0,Performance_Data[[#This Row],[Shots]]*90/Performance_Data[[#This Row],[Minutes_Played]],0)</f>
        <v>7.0129870129870131</v>
      </c>
      <c r="T124" s="6">
        <f>IF(Performance_Data[[#This Row],[Successful_Dribbles]]&gt;0,Performance_Data[[#This Row],[Successful_Dribbles]]*90/Performance_Data[[#This Row],[Minutes_Played]],0)</f>
        <v>0</v>
      </c>
      <c r="U124" s="5">
        <f>IF(Performance_Data[[#This Row],[Duels_Won]]&gt;0,Performance_Data[[#This Row],[Duels_Won]]*90/Performance_Data[[#This Row],[Minutes_Played]],0)</f>
        <v>9.3506493506493502</v>
      </c>
      <c r="V124" s="5" t="str">
        <f t="shared" si="22"/>
        <v/>
      </c>
      <c r="W124" s="5" t="str">
        <f t="shared" si="23"/>
        <v/>
      </c>
      <c r="X124" s="5" t="str">
        <f t="shared" si="24"/>
        <v/>
      </c>
      <c r="Y124" s="5" t="str">
        <f t="shared" si="25"/>
        <v/>
      </c>
      <c r="Z124" s="5" t="str">
        <f t="shared" si="26"/>
        <v/>
      </c>
      <c r="AA124" s="5" t="str">
        <f t="shared" si="27"/>
        <v/>
      </c>
    </row>
    <row r="125" spans="1:27" x14ac:dyDescent="0.3">
      <c r="A125" s="3" t="s">
        <v>168</v>
      </c>
      <c r="B125" s="9" t="s">
        <v>31</v>
      </c>
      <c r="C125" s="3" t="s">
        <v>32</v>
      </c>
      <c r="D125">
        <v>20</v>
      </c>
      <c r="E125" s="3" t="s">
        <v>23</v>
      </c>
      <c r="F125" s="8">
        <v>45781</v>
      </c>
      <c r="G125">
        <v>63</v>
      </c>
      <c r="H125">
        <v>2</v>
      </c>
      <c r="I125">
        <v>0</v>
      </c>
      <c r="J125">
        <v>2</v>
      </c>
      <c r="K125">
        <v>0</v>
      </c>
      <c r="L125">
        <v>0</v>
      </c>
      <c r="M125">
        <v>8</v>
      </c>
      <c r="N125">
        <v>69</v>
      </c>
      <c r="O125">
        <v>10.6</v>
      </c>
      <c r="P125" s="5">
        <f t="shared" si="21"/>
        <v>2.8571428571428572</v>
      </c>
      <c r="Q125" s="5">
        <f>IF(Performance_Data[[#This Row],[Minutes_Played]]&gt;0,Performance_Data[[#This Row],[Assists]]*90/Performance_Data[[#This Row],[Minutes_Played]], 0)</f>
        <v>0</v>
      </c>
      <c r="R125" s="5">
        <f>IF(Performance_Data[[#This Row],[Key_Passes]]&gt;0,Performance_Data[[#This Row],[Key_Passes]]*90/Performance_Data[[#This Row],[Minutes_Played]],0)</f>
        <v>2.8571428571428572</v>
      </c>
      <c r="S125" s="5">
        <f>IF(Performance_Data[[#This Row],[Shots]]&gt;0,Performance_Data[[#This Row],[Shots]]*90/Performance_Data[[#This Row],[Minutes_Played]],0)</f>
        <v>0</v>
      </c>
      <c r="T125" s="6">
        <f>IF(Performance_Data[[#This Row],[Successful_Dribbles]]&gt;0,Performance_Data[[#This Row],[Successful_Dribbles]]*90/Performance_Data[[#This Row],[Minutes_Played]],0)</f>
        <v>0</v>
      </c>
      <c r="U125" s="5">
        <f>IF(Performance_Data[[#This Row],[Duels_Won]]&gt;0,Performance_Data[[#This Row],[Duels_Won]]*90/Performance_Data[[#This Row],[Minutes_Played]],0)</f>
        <v>11.428571428571429</v>
      </c>
      <c r="V125" s="5" t="str">
        <f t="shared" si="22"/>
        <v/>
      </c>
      <c r="W125" s="5" t="str">
        <f t="shared" si="23"/>
        <v/>
      </c>
      <c r="X125" s="5" t="str">
        <f t="shared" si="24"/>
        <v/>
      </c>
      <c r="Y125" s="5" t="str">
        <f t="shared" si="25"/>
        <v/>
      </c>
      <c r="Z125" s="5" t="str">
        <f t="shared" si="26"/>
        <v/>
      </c>
      <c r="AA125" s="5" t="str">
        <f t="shared" si="27"/>
        <v/>
      </c>
    </row>
    <row r="126" spans="1:27" x14ac:dyDescent="0.3">
      <c r="A126" s="3" t="s">
        <v>169</v>
      </c>
      <c r="B126" s="9" t="s">
        <v>31</v>
      </c>
      <c r="C126" s="3" t="s">
        <v>32</v>
      </c>
      <c r="D126">
        <v>20</v>
      </c>
      <c r="E126" s="3" t="s">
        <v>23</v>
      </c>
      <c r="F126" s="8">
        <v>45782</v>
      </c>
      <c r="G126">
        <v>48</v>
      </c>
      <c r="H126">
        <v>1</v>
      </c>
      <c r="I126">
        <v>1</v>
      </c>
      <c r="J126">
        <v>2</v>
      </c>
      <c r="K126">
        <v>4</v>
      </c>
      <c r="L126">
        <v>7</v>
      </c>
      <c r="M126">
        <v>4</v>
      </c>
      <c r="N126">
        <v>84</v>
      </c>
      <c r="O126">
        <v>10.3</v>
      </c>
      <c r="P126" s="5">
        <f t="shared" si="21"/>
        <v>1.875</v>
      </c>
      <c r="Q126" s="5">
        <f>IF(Performance_Data[[#This Row],[Minutes_Played]]&gt;0,Performance_Data[[#This Row],[Assists]]*90/Performance_Data[[#This Row],[Minutes_Played]], 0)</f>
        <v>1.875</v>
      </c>
      <c r="R126" s="5">
        <f>IF(Performance_Data[[#This Row],[Key_Passes]]&gt;0,Performance_Data[[#This Row],[Key_Passes]]*90/Performance_Data[[#This Row],[Minutes_Played]],0)</f>
        <v>3.75</v>
      </c>
      <c r="S126" s="5">
        <f>IF(Performance_Data[[#This Row],[Shots]]&gt;0,Performance_Data[[#This Row],[Shots]]*90/Performance_Data[[#This Row],[Minutes_Played]],0)</f>
        <v>7.5</v>
      </c>
      <c r="T126" s="6">
        <f>IF(Performance_Data[[#This Row],[Successful_Dribbles]]&gt;0,Performance_Data[[#This Row],[Successful_Dribbles]]*90/Performance_Data[[#This Row],[Minutes_Played]],0)</f>
        <v>13.125</v>
      </c>
      <c r="U126" s="5">
        <f>IF(Performance_Data[[#This Row],[Duels_Won]]&gt;0,Performance_Data[[#This Row],[Duels_Won]]*90/Performance_Data[[#This Row],[Minutes_Played]],0)</f>
        <v>7.5</v>
      </c>
      <c r="V126" s="5">
        <f t="shared" si="22"/>
        <v>2.4798267330181085</v>
      </c>
      <c r="W126" s="5">
        <f t="shared" si="23"/>
        <v>1.6746319278233031</v>
      </c>
      <c r="X126" s="5">
        <f t="shared" si="24"/>
        <v>3.5502073018163984</v>
      </c>
      <c r="Y126" s="5">
        <f t="shared" si="25"/>
        <v>3.9684630966544718</v>
      </c>
      <c r="Z126" s="5">
        <f t="shared" si="26"/>
        <v>4.606119931345205</v>
      </c>
      <c r="AA126" s="5">
        <f t="shared" si="27"/>
        <v>10.378864966828925</v>
      </c>
    </row>
    <row r="127" spans="1:27" x14ac:dyDescent="0.3">
      <c r="A127" s="3" t="s">
        <v>170</v>
      </c>
      <c r="B127" s="9" t="s">
        <v>31</v>
      </c>
      <c r="C127" s="3" t="s">
        <v>32</v>
      </c>
      <c r="D127">
        <v>20</v>
      </c>
      <c r="E127" s="3" t="s">
        <v>23</v>
      </c>
      <c r="F127" s="8">
        <v>45783</v>
      </c>
      <c r="G127">
        <v>54</v>
      </c>
      <c r="H127">
        <v>0</v>
      </c>
      <c r="I127">
        <v>1</v>
      </c>
      <c r="J127">
        <v>3</v>
      </c>
      <c r="K127">
        <v>2</v>
      </c>
      <c r="L127">
        <v>3</v>
      </c>
      <c r="M127">
        <v>0</v>
      </c>
      <c r="N127">
        <v>91</v>
      </c>
      <c r="O127">
        <v>10.8</v>
      </c>
      <c r="P127" s="5">
        <f t="shared" si="21"/>
        <v>0</v>
      </c>
      <c r="Q127" s="5">
        <f>IF(Performance_Data[[#This Row],[Minutes_Played]]&gt;0,Performance_Data[[#This Row],[Assists]]*90/Performance_Data[[#This Row],[Minutes_Played]], 0)</f>
        <v>1.6666666666666667</v>
      </c>
      <c r="R127" s="5">
        <f>IF(Performance_Data[[#This Row],[Key_Passes]]&gt;0,Performance_Data[[#This Row],[Key_Passes]]*90/Performance_Data[[#This Row],[Minutes_Played]],0)</f>
        <v>5</v>
      </c>
      <c r="S127" s="5">
        <f>IF(Performance_Data[[#This Row],[Shots]]&gt;0,Performance_Data[[#This Row],[Shots]]*90/Performance_Data[[#This Row],[Minutes_Played]],0)</f>
        <v>3.3333333333333335</v>
      </c>
      <c r="T127" s="6">
        <f>IF(Performance_Data[[#This Row],[Successful_Dribbles]]&gt;0,Performance_Data[[#This Row],[Successful_Dribbles]]*90/Performance_Data[[#This Row],[Minutes_Played]],0)</f>
        <v>5</v>
      </c>
      <c r="U127" s="5">
        <f>IF(Performance_Data[[#This Row],[Duels_Won]]&gt;0,Performance_Data[[#This Row],[Duels_Won]]*90/Performance_Data[[#This Row],[Minutes_Played]],0)</f>
        <v>0</v>
      </c>
      <c r="V127" s="5">
        <f t="shared" si="22"/>
        <v>2.0241305304864627</v>
      </c>
      <c r="W127" s="5">
        <f t="shared" si="23"/>
        <v>1.5522690586249908</v>
      </c>
      <c r="X127" s="5">
        <f t="shared" si="24"/>
        <v>3.86666299801893</v>
      </c>
      <c r="Y127" s="5">
        <f t="shared" si="25"/>
        <v>4.1794335607894926</v>
      </c>
      <c r="Z127" s="5">
        <f t="shared" si="26"/>
        <v>5.1504237288135588</v>
      </c>
      <c r="AA127" s="5">
        <f t="shared" si="27"/>
        <v>9.0117763592339877</v>
      </c>
    </row>
    <row r="128" spans="1:27" x14ac:dyDescent="0.3">
      <c r="A128" s="3" t="s">
        <v>171</v>
      </c>
      <c r="B128" s="9" t="s">
        <v>31</v>
      </c>
      <c r="C128" s="3" t="s">
        <v>32</v>
      </c>
      <c r="D128">
        <v>20</v>
      </c>
      <c r="E128" s="3" t="s">
        <v>23</v>
      </c>
      <c r="F128" s="8">
        <v>45784</v>
      </c>
      <c r="G128">
        <v>52</v>
      </c>
      <c r="H128">
        <v>1</v>
      </c>
      <c r="I128">
        <v>0</v>
      </c>
      <c r="J128">
        <v>6</v>
      </c>
      <c r="K128">
        <v>6</v>
      </c>
      <c r="L128">
        <v>3</v>
      </c>
      <c r="M128">
        <v>9</v>
      </c>
      <c r="N128">
        <v>72</v>
      </c>
      <c r="O128">
        <v>9</v>
      </c>
      <c r="P128" s="5">
        <f t="shared" si="21"/>
        <v>1.7307692307692308</v>
      </c>
      <c r="Q128" s="5">
        <f>IF(Performance_Data[[#This Row],[Minutes_Played]]&gt;0,Performance_Data[[#This Row],[Assists]]*90/Performance_Data[[#This Row],[Minutes_Played]], 0)</f>
        <v>0</v>
      </c>
      <c r="R128" s="5">
        <f>IF(Performance_Data[[#This Row],[Key_Passes]]&gt;0,Performance_Data[[#This Row],[Key_Passes]]*90/Performance_Data[[#This Row],[Minutes_Played]],0)</f>
        <v>10.384615384615385</v>
      </c>
      <c r="S128" s="5">
        <f>IF(Performance_Data[[#This Row],[Shots]]&gt;0,Performance_Data[[#This Row],[Shots]]*90/Performance_Data[[#This Row],[Minutes_Played]],0)</f>
        <v>10.384615384615385</v>
      </c>
      <c r="T128" s="6">
        <f>IF(Performance_Data[[#This Row],[Successful_Dribbles]]&gt;0,Performance_Data[[#This Row],[Successful_Dribbles]]*90/Performance_Data[[#This Row],[Minutes_Played]],0)</f>
        <v>5.1923076923076925</v>
      </c>
      <c r="U128" s="5">
        <f>IF(Performance_Data[[#This Row],[Duels_Won]]&gt;0,Performance_Data[[#This Row],[Duels_Won]]*90/Performance_Data[[#This Row],[Minutes_Played]],0)</f>
        <v>15.576923076923077</v>
      </c>
      <c r="V128" s="5">
        <f t="shared" si="22"/>
        <v>1.7601148851148849</v>
      </c>
      <c r="W128" s="5">
        <f t="shared" si="23"/>
        <v>0.9420995670995671</v>
      </c>
      <c r="X128" s="5">
        <f t="shared" si="24"/>
        <v>5.3334165834165832</v>
      </c>
      <c r="Y128" s="5">
        <f t="shared" si="25"/>
        <v>5.6461871461871471</v>
      </c>
      <c r="Z128" s="5">
        <f t="shared" si="26"/>
        <v>4.6634615384615383</v>
      </c>
      <c r="AA128" s="5">
        <f t="shared" si="27"/>
        <v>8.7712287712287722</v>
      </c>
    </row>
    <row r="129" spans="1:27" x14ac:dyDescent="0.3">
      <c r="A129" s="3" t="s">
        <v>172</v>
      </c>
      <c r="B129" s="9" t="s">
        <v>31</v>
      </c>
      <c r="C129" s="3" t="s">
        <v>32</v>
      </c>
      <c r="D129">
        <v>20</v>
      </c>
      <c r="E129" s="3" t="s">
        <v>23</v>
      </c>
      <c r="F129" s="8">
        <v>45785</v>
      </c>
      <c r="G129">
        <v>36</v>
      </c>
      <c r="H129">
        <v>2</v>
      </c>
      <c r="I129">
        <v>0</v>
      </c>
      <c r="J129">
        <v>0</v>
      </c>
      <c r="K129">
        <v>0</v>
      </c>
      <c r="L129">
        <v>7</v>
      </c>
      <c r="M129">
        <v>12</v>
      </c>
      <c r="N129">
        <v>83</v>
      </c>
      <c r="O129">
        <v>8.6999999999999993</v>
      </c>
      <c r="P129" s="5">
        <f t="shared" si="21"/>
        <v>5</v>
      </c>
      <c r="Q129" s="5">
        <f>IF(Performance_Data[[#This Row],[Minutes_Played]]&gt;0,Performance_Data[[#This Row],[Assists]]*90/Performance_Data[[#This Row],[Minutes_Played]], 0)</f>
        <v>0</v>
      </c>
      <c r="R129" s="5">
        <f>IF(Performance_Data[[#This Row],[Key_Passes]]&gt;0,Performance_Data[[#This Row],[Key_Passes]]*90/Performance_Data[[#This Row],[Minutes_Played]],0)</f>
        <v>0</v>
      </c>
      <c r="S129" s="5">
        <f>IF(Performance_Data[[#This Row],[Shots]]&gt;0,Performance_Data[[#This Row],[Shots]]*90/Performance_Data[[#This Row],[Minutes_Played]],0)</f>
        <v>0</v>
      </c>
      <c r="T129" s="6">
        <f>IF(Performance_Data[[#This Row],[Successful_Dribbles]]&gt;0,Performance_Data[[#This Row],[Successful_Dribbles]]*90/Performance_Data[[#This Row],[Minutes_Played]],0)</f>
        <v>17.5</v>
      </c>
      <c r="U129" s="5">
        <f>IF(Performance_Data[[#This Row],[Duels_Won]]&gt;0,Performance_Data[[#This Row],[Duels_Won]]*90/Performance_Data[[#This Row],[Minutes_Played]],0)</f>
        <v>30</v>
      </c>
      <c r="V129" s="5">
        <f t="shared" si="22"/>
        <v>2.2925824175824174</v>
      </c>
      <c r="W129" s="5">
        <f t="shared" si="23"/>
        <v>0.70833333333333337</v>
      </c>
      <c r="X129" s="5">
        <f t="shared" si="24"/>
        <v>4.3983516483516478</v>
      </c>
      <c r="Y129" s="5">
        <f t="shared" si="25"/>
        <v>4.2435897435897436</v>
      </c>
      <c r="Z129" s="5">
        <f t="shared" si="26"/>
        <v>8.1634615384615383</v>
      </c>
      <c r="AA129" s="5">
        <f t="shared" si="27"/>
        <v>12.901098901098901</v>
      </c>
    </row>
    <row r="130" spans="1:27" x14ac:dyDescent="0.3">
      <c r="A130" s="3" t="s">
        <v>173</v>
      </c>
      <c r="B130" s="9" t="s">
        <v>31</v>
      </c>
      <c r="C130" s="3" t="s">
        <v>32</v>
      </c>
      <c r="D130">
        <v>20</v>
      </c>
      <c r="E130" s="3" t="s">
        <v>23</v>
      </c>
      <c r="F130" s="8">
        <v>45786</v>
      </c>
      <c r="G130">
        <v>90</v>
      </c>
      <c r="H130">
        <v>0</v>
      </c>
      <c r="I130">
        <v>0</v>
      </c>
      <c r="J130">
        <v>0</v>
      </c>
      <c r="K130">
        <v>3</v>
      </c>
      <c r="L130">
        <v>5</v>
      </c>
      <c r="M130">
        <v>3</v>
      </c>
      <c r="N130">
        <v>92</v>
      </c>
      <c r="O130">
        <v>9.6999999999999993</v>
      </c>
      <c r="P130" s="5">
        <f t="shared" ref="P130:P161" si="28">IF(G130&gt;0, H130*90/G130,0)</f>
        <v>0</v>
      </c>
      <c r="Q130" s="5">
        <f>IF(Performance_Data[[#This Row],[Minutes_Played]]&gt;0,Performance_Data[[#This Row],[Assists]]*90/Performance_Data[[#This Row],[Minutes_Played]], 0)</f>
        <v>0</v>
      </c>
      <c r="R130" s="5">
        <f>IF(Performance_Data[[#This Row],[Key_Passes]]&gt;0,Performance_Data[[#This Row],[Key_Passes]]*90/Performance_Data[[#This Row],[Minutes_Played]],0)</f>
        <v>0</v>
      </c>
      <c r="S130" s="5">
        <f>IF(Performance_Data[[#This Row],[Shots]]&gt;0,Performance_Data[[#This Row],[Shots]]*90/Performance_Data[[#This Row],[Minutes_Played]],0)</f>
        <v>3</v>
      </c>
      <c r="T130" s="6">
        <f>IF(Performance_Data[[#This Row],[Successful_Dribbles]]&gt;0,Performance_Data[[#This Row],[Successful_Dribbles]]*90/Performance_Data[[#This Row],[Minutes_Played]],0)</f>
        <v>5</v>
      </c>
      <c r="U130" s="5">
        <f>IF(Performance_Data[[#This Row],[Duels_Won]]&gt;0,Performance_Data[[#This Row],[Duels_Won]]*90/Performance_Data[[#This Row],[Minutes_Played]],0)</f>
        <v>3</v>
      </c>
      <c r="V130" s="5">
        <f t="shared" si="22"/>
        <v>1.721153846153846</v>
      </c>
      <c r="W130" s="5">
        <f t="shared" si="23"/>
        <v>0.70833333333333337</v>
      </c>
      <c r="X130" s="5">
        <f t="shared" si="24"/>
        <v>3.8269230769230775</v>
      </c>
      <c r="Y130" s="5">
        <f t="shared" si="25"/>
        <v>4.8435897435897441</v>
      </c>
      <c r="Z130" s="5">
        <f t="shared" si="26"/>
        <v>9.1634615384615383</v>
      </c>
      <c r="AA130" s="5">
        <f t="shared" si="27"/>
        <v>11.215384615384616</v>
      </c>
    </row>
    <row r="131" spans="1:27" x14ac:dyDescent="0.3">
      <c r="A131" s="3" t="s">
        <v>174</v>
      </c>
      <c r="B131" s="9" t="s">
        <v>31</v>
      </c>
      <c r="C131" s="3" t="s">
        <v>32</v>
      </c>
      <c r="D131">
        <v>20</v>
      </c>
      <c r="E131" s="3" t="s">
        <v>23</v>
      </c>
      <c r="F131" s="8">
        <v>45787</v>
      </c>
      <c r="G131">
        <v>81</v>
      </c>
      <c r="H131">
        <v>1</v>
      </c>
      <c r="I131">
        <v>0</v>
      </c>
      <c r="J131">
        <v>4</v>
      </c>
      <c r="K131">
        <v>3</v>
      </c>
      <c r="L131">
        <v>1</v>
      </c>
      <c r="M131">
        <v>2</v>
      </c>
      <c r="N131">
        <v>71</v>
      </c>
      <c r="O131">
        <v>8.3000000000000007</v>
      </c>
      <c r="P131" s="5">
        <f t="shared" si="28"/>
        <v>1.1111111111111112</v>
      </c>
      <c r="Q131" s="5">
        <f>IF(Performance_Data[[#This Row],[Minutes_Played]]&gt;0,Performance_Data[[#This Row],[Assists]]*90/Performance_Data[[#This Row],[Minutes_Played]], 0)</f>
        <v>0</v>
      </c>
      <c r="R131" s="5">
        <f>IF(Performance_Data[[#This Row],[Key_Passes]]&gt;0,Performance_Data[[#This Row],[Key_Passes]]*90/Performance_Data[[#This Row],[Minutes_Played]],0)</f>
        <v>4.4444444444444446</v>
      </c>
      <c r="S131" s="5">
        <f>IF(Performance_Data[[#This Row],[Shots]]&gt;0,Performance_Data[[#This Row],[Shots]]*90/Performance_Data[[#This Row],[Minutes_Played]],0)</f>
        <v>3.3333333333333335</v>
      </c>
      <c r="T131" s="6">
        <f>IF(Performance_Data[[#This Row],[Successful_Dribbles]]&gt;0,Performance_Data[[#This Row],[Successful_Dribbles]]*90/Performance_Data[[#This Row],[Minutes_Played]],0)</f>
        <v>1.1111111111111112</v>
      </c>
      <c r="U131" s="5">
        <f>IF(Performance_Data[[#This Row],[Duels_Won]]&gt;0,Performance_Data[[#This Row],[Duels_Won]]*90/Performance_Data[[#This Row],[Minutes_Played]],0)</f>
        <v>2.2222222222222223</v>
      </c>
      <c r="V131" s="5">
        <f t="shared" si="22"/>
        <v>1.5683760683760686</v>
      </c>
      <c r="W131" s="5">
        <f t="shared" si="23"/>
        <v>0.33333333333333337</v>
      </c>
      <c r="X131" s="5">
        <f t="shared" si="24"/>
        <v>3.9658119658119659</v>
      </c>
      <c r="Y131" s="5">
        <f t="shared" si="25"/>
        <v>4.0102564102564102</v>
      </c>
      <c r="Z131" s="5">
        <f t="shared" si="26"/>
        <v>6.7606837606837615</v>
      </c>
      <c r="AA131" s="5">
        <f t="shared" si="27"/>
        <v>10.159829059829061</v>
      </c>
    </row>
    <row r="132" spans="1:27" x14ac:dyDescent="0.3">
      <c r="A132" s="3" t="s">
        <v>175</v>
      </c>
      <c r="B132" s="9" t="s">
        <v>31</v>
      </c>
      <c r="C132" s="3" t="s">
        <v>32</v>
      </c>
      <c r="D132">
        <v>20</v>
      </c>
      <c r="E132" s="3" t="s">
        <v>23</v>
      </c>
      <c r="F132" s="8">
        <v>45788</v>
      </c>
      <c r="G132">
        <v>36</v>
      </c>
      <c r="H132">
        <v>1</v>
      </c>
      <c r="I132">
        <v>1</v>
      </c>
      <c r="J132">
        <v>4</v>
      </c>
      <c r="K132">
        <v>3</v>
      </c>
      <c r="L132">
        <v>8</v>
      </c>
      <c r="M132">
        <v>11</v>
      </c>
      <c r="N132">
        <v>88</v>
      </c>
      <c r="O132">
        <v>9.8000000000000007</v>
      </c>
      <c r="P132" s="5">
        <f t="shared" si="28"/>
        <v>2.5</v>
      </c>
      <c r="Q132" s="5">
        <f>IF(Performance_Data[[#This Row],[Minutes_Played]]&gt;0,Performance_Data[[#This Row],[Assists]]*90/Performance_Data[[#This Row],[Minutes_Played]], 0)</f>
        <v>2.5</v>
      </c>
      <c r="R132" s="5">
        <f>IF(Performance_Data[[#This Row],[Key_Passes]]&gt;0,Performance_Data[[#This Row],[Key_Passes]]*90/Performance_Data[[#This Row],[Minutes_Played]],0)</f>
        <v>10</v>
      </c>
      <c r="S132" s="5">
        <f>IF(Performance_Data[[#This Row],[Shots]]&gt;0,Performance_Data[[#This Row],[Shots]]*90/Performance_Data[[#This Row],[Minutes_Played]],0)</f>
        <v>7.5</v>
      </c>
      <c r="T132" s="6">
        <f>IF(Performance_Data[[#This Row],[Successful_Dribbles]]&gt;0,Performance_Data[[#This Row],[Successful_Dribbles]]*90/Performance_Data[[#This Row],[Minutes_Played]],0)</f>
        <v>20</v>
      </c>
      <c r="U132" s="5">
        <f>IF(Performance_Data[[#This Row],[Duels_Won]]&gt;0,Performance_Data[[#This Row],[Duels_Won]]*90/Performance_Data[[#This Row],[Minutes_Played]],0)</f>
        <v>27.5</v>
      </c>
      <c r="V132" s="5">
        <f t="shared" si="22"/>
        <v>2.0683760683760686</v>
      </c>
      <c r="W132" s="5">
        <f t="shared" si="23"/>
        <v>0.5</v>
      </c>
      <c r="X132" s="5">
        <f t="shared" si="24"/>
        <v>4.9658119658119659</v>
      </c>
      <c r="Y132" s="5">
        <f t="shared" si="25"/>
        <v>4.8435897435897441</v>
      </c>
      <c r="Z132" s="5">
        <f t="shared" si="26"/>
        <v>9.7606837606837615</v>
      </c>
      <c r="AA132" s="5">
        <f t="shared" si="27"/>
        <v>15.659829059829059</v>
      </c>
    </row>
    <row r="133" spans="1:27" x14ac:dyDescent="0.3">
      <c r="A133" s="3" t="s">
        <v>176</v>
      </c>
      <c r="B133" s="9" t="s">
        <v>31</v>
      </c>
      <c r="C133" s="3" t="s">
        <v>32</v>
      </c>
      <c r="D133">
        <v>20</v>
      </c>
      <c r="E133" s="3" t="s">
        <v>23</v>
      </c>
      <c r="F133" s="8">
        <v>45789</v>
      </c>
      <c r="G133">
        <v>47</v>
      </c>
      <c r="H133">
        <v>2</v>
      </c>
      <c r="I133">
        <v>0</v>
      </c>
      <c r="J133">
        <v>5</v>
      </c>
      <c r="K133">
        <v>1</v>
      </c>
      <c r="L133">
        <v>3</v>
      </c>
      <c r="M133">
        <v>0</v>
      </c>
      <c r="N133">
        <v>70</v>
      </c>
      <c r="O133">
        <v>8.5</v>
      </c>
      <c r="P133" s="5">
        <f t="shared" si="28"/>
        <v>3.8297872340425534</v>
      </c>
      <c r="Q133" s="5">
        <f>IF(Performance_Data[[#This Row],[Minutes_Played]]&gt;0,Performance_Data[[#This Row],[Assists]]*90/Performance_Data[[#This Row],[Minutes_Played]], 0)</f>
        <v>0</v>
      </c>
      <c r="R133" s="5">
        <f>IF(Performance_Data[[#This Row],[Key_Passes]]&gt;0,Performance_Data[[#This Row],[Key_Passes]]*90/Performance_Data[[#This Row],[Minutes_Played]],0)</f>
        <v>9.5744680851063837</v>
      </c>
      <c r="S133" s="5">
        <f>IF(Performance_Data[[#This Row],[Shots]]&gt;0,Performance_Data[[#This Row],[Shots]]*90/Performance_Data[[#This Row],[Minutes_Played]],0)</f>
        <v>1.9148936170212767</v>
      </c>
      <c r="T133" s="6">
        <f>IF(Performance_Data[[#This Row],[Successful_Dribbles]]&gt;0,Performance_Data[[#This Row],[Successful_Dribbles]]*90/Performance_Data[[#This Row],[Minutes_Played]],0)</f>
        <v>5.7446808510638299</v>
      </c>
      <c r="U133" s="5">
        <f>IF(Performance_Data[[#This Row],[Duels_Won]]&gt;0,Performance_Data[[#This Row],[Duels_Won]]*90/Performance_Data[[#This Row],[Minutes_Played]],0)</f>
        <v>0</v>
      </c>
      <c r="V133" s="5">
        <f t="shared" si="22"/>
        <v>2.4881796690307327</v>
      </c>
      <c r="W133" s="5">
        <f t="shared" si="23"/>
        <v>0.5</v>
      </c>
      <c r="X133" s="5">
        <f t="shared" si="24"/>
        <v>4.8037825059101653</v>
      </c>
      <c r="Y133" s="5">
        <f t="shared" si="25"/>
        <v>3.1496453900709218</v>
      </c>
      <c r="Z133" s="5">
        <f t="shared" si="26"/>
        <v>9.8711583924349888</v>
      </c>
      <c r="AA133" s="5">
        <f t="shared" si="27"/>
        <v>12.544444444444444</v>
      </c>
    </row>
    <row r="134" spans="1:27" x14ac:dyDescent="0.3">
      <c r="A134" s="3" t="s">
        <v>177</v>
      </c>
      <c r="B134" s="9" t="s">
        <v>31</v>
      </c>
      <c r="C134" s="3" t="s">
        <v>32</v>
      </c>
      <c r="D134">
        <v>20</v>
      </c>
      <c r="E134" s="3" t="s">
        <v>23</v>
      </c>
      <c r="F134" s="8">
        <v>45790</v>
      </c>
      <c r="G134">
        <v>70</v>
      </c>
      <c r="H134">
        <v>1</v>
      </c>
      <c r="I134">
        <v>0</v>
      </c>
      <c r="J134">
        <v>1</v>
      </c>
      <c r="K134">
        <v>2</v>
      </c>
      <c r="L134">
        <v>7</v>
      </c>
      <c r="M134">
        <v>11</v>
      </c>
      <c r="N134">
        <v>84</v>
      </c>
      <c r="O134">
        <v>11.3</v>
      </c>
      <c r="P134" s="5">
        <f t="shared" si="28"/>
        <v>1.2857142857142858</v>
      </c>
      <c r="Q134" s="5">
        <f>IF(Performance_Data[[#This Row],[Minutes_Played]]&gt;0,Performance_Data[[#This Row],[Assists]]*90/Performance_Data[[#This Row],[Minutes_Played]], 0)</f>
        <v>0</v>
      </c>
      <c r="R134" s="5">
        <f>IF(Performance_Data[[#This Row],[Key_Passes]]&gt;0,Performance_Data[[#This Row],[Key_Passes]]*90/Performance_Data[[#This Row],[Minutes_Played]],0)</f>
        <v>1.2857142857142858</v>
      </c>
      <c r="S134" s="5">
        <f>IF(Performance_Data[[#This Row],[Shots]]&gt;0,Performance_Data[[#This Row],[Shots]]*90/Performance_Data[[#This Row],[Minutes_Played]],0)</f>
        <v>2.5714285714285716</v>
      </c>
      <c r="T134" s="6">
        <f>IF(Performance_Data[[#This Row],[Successful_Dribbles]]&gt;0,Performance_Data[[#This Row],[Successful_Dribbles]]*90/Performance_Data[[#This Row],[Minutes_Played]],0)</f>
        <v>9</v>
      </c>
      <c r="U134" s="5">
        <f>IF(Performance_Data[[#This Row],[Duels_Won]]&gt;0,Performance_Data[[#This Row],[Duels_Won]]*90/Performance_Data[[#This Row],[Minutes_Played]],0)</f>
        <v>14.142857142857142</v>
      </c>
      <c r="V134" s="5">
        <f t="shared" ref="V134:V165" si="29">IF(COUNTIF(B130:B134,B134)=5, AVERAGE(P130:P134), "")</f>
        <v>1.7453225261735903</v>
      </c>
      <c r="W134" s="5">
        <f t="shared" ref="W134:W165" si="30">IF(COUNTIF(B130:B134,B134)=5, AVERAGE(Q130:Q134), "")</f>
        <v>0.5</v>
      </c>
      <c r="X134" s="5">
        <f t="shared" ref="X134:X165" si="31">IF(COUNTIF(B130:B134,B134)=5, AVERAGE(R130:R134), "")</f>
        <v>5.0609253630530224</v>
      </c>
      <c r="Y134" s="5">
        <f t="shared" ref="Y134:Y165" si="32">IF(COUNTIF(B130:B134,B134)=5, AVERAGE(S130:S134), "")</f>
        <v>3.6639311043566365</v>
      </c>
      <c r="Z134" s="5">
        <f t="shared" ref="Z134:Z165" si="33">IF(COUNTIF(B130:B134,B134)=5,AVERAGE(T130:T134),"")</f>
        <v>8.1711583924349878</v>
      </c>
      <c r="AA134" s="5">
        <f t="shared" ref="AA134:AA165" si="34">IF(COUNTIF(B130:B134,B134)=5,AVERAGE(U130:U134),"")</f>
        <v>9.3730158730158735</v>
      </c>
    </row>
    <row r="135" spans="1:27" x14ac:dyDescent="0.3">
      <c r="A135" s="3" t="s">
        <v>178</v>
      </c>
      <c r="B135" s="9" t="s">
        <v>31</v>
      </c>
      <c r="C135" s="3" t="s">
        <v>32</v>
      </c>
      <c r="D135">
        <v>20</v>
      </c>
      <c r="E135" s="3" t="s">
        <v>23</v>
      </c>
      <c r="F135" s="8">
        <v>45791</v>
      </c>
      <c r="G135">
        <v>59</v>
      </c>
      <c r="H135">
        <v>1</v>
      </c>
      <c r="I135">
        <v>1</v>
      </c>
      <c r="J135">
        <v>4</v>
      </c>
      <c r="K135">
        <v>2</v>
      </c>
      <c r="L135">
        <v>7</v>
      </c>
      <c r="M135">
        <v>7</v>
      </c>
      <c r="N135">
        <v>80</v>
      </c>
      <c r="O135">
        <v>11.6</v>
      </c>
      <c r="P135" s="5">
        <f t="shared" si="28"/>
        <v>1.5254237288135593</v>
      </c>
      <c r="Q135" s="5">
        <f>IF(Performance_Data[[#This Row],[Minutes_Played]]&gt;0,Performance_Data[[#This Row],[Assists]]*90/Performance_Data[[#This Row],[Minutes_Played]], 0)</f>
        <v>1.5254237288135593</v>
      </c>
      <c r="R135" s="5">
        <f>IF(Performance_Data[[#This Row],[Key_Passes]]&gt;0,Performance_Data[[#This Row],[Key_Passes]]*90/Performance_Data[[#This Row],[Minutes_Played]],0)</f>
        <v>6.101694915254237</v>
      </c>
      <c r="S135" s="5">
        <f>IF(Performance_Data[[#This Row],[Shots]]&gt;0,Performance_Data[[#This Row],[Shots]]*90/Performance_Data[[#This Row],[Minutes_Played]],0)</f>
        <v>3.0508474576271185</v>
      </c>
      <c r="T135" s="6">
        <f>IF(Performance_Data[[#This Row],[Successful_Dribbles]]&gt;0,Performance_Data[[#This Row],[Successful_Dribbles]]*90/Performance_Data[[#This Row],[Minutes_Played]],0)</f>
        <v>10.677966101694915</v>
      </c>
      <c r="U135" s="5">
        <f>IF(Performance_Data[[#This Row],[Duels_Won]]&gt;0,Performance_Data[[#This Row],[Duels_Won]]*90/Performance_Data[[#This Row],[Minutes_Played]],0)</f>
        <v>10.677966101694915</v>
      </c>
      <c r="V135" s="5">
        <f t="shared" si="29"/>
        <v>2.0504072719363018</v>
      </c>
      <c r="W135" s="5">
        <f t="shared" si="30"/>
        <v>0.80508474576271172</v>
      </c>
      <c r="X135" s="5">
        <f t="shared" si="31"/>
        <v>6.2812643461038702</v>
      </c>
      <c r="Y135" s="5">
        <f t="shared" si="32"/>
        <v>3.6741005958820603</v>
      </c>
      <c r="Z135" s="5">
        <f t="shared" si="33"/>
        <v>9.3067516127739705</v>
      </c>
      <c r="AA135" s="5">
        <f t="shared" si="34"/>
        <v>10.908609093354857</v>
      </c>
    </row>
    <row r="136" spans="1:27" x14ac:dyDescent="0.3">
      <c r="A136" s="3" t="s">
        <v>179</v>
      </c>
      <c r="B136" s="9" t="s">
        <v>31</v>
      </c>
      <c r="C136" s="3" t="s">
        <v>32</v>
      </c>
      <c r="D136">
        <v>20</v>
      </c>
      <c r="E136" s="3" t="s">
        <v>23</v>
      </c>
      <c r="F136" s="8">
        <v>45792</v>
      </c>
      <c r="G136">
        <v>70</v>
      </c>
      <c r="H136">
        <v>2</v>
      </c>
      <c r="I136">
        <v>0</v>
      </c>
      <c r="J136">
        <v>2</v>
      </c>
      <c r="K136">
        <v>3</v>
      </c>
      <c r="L136">
        <v>6</v>
      </c>
      <c r="M136">
        <v>9</v>
      </c>
      <c r="N136">
        <v>72</v>
      </c>
      <c r="O136">
        <v>10.1</v>
      </c>
      <c r="P136" s="5">
        <f t="shared" si="28"/>
        <v>2.5714285714285716</v>
      </c>
      <c r="Q136" s="5">
        <f>IF(Performance_Data[[#This Row],[Minutes_Played]]&gt;0,Performance_Data[[#This Row],[Assists]]*90/Performance_Data[[#This Row],[Minutes_Played]], 0)</f>
        <v>0</v>
      </c>
      <c r="R136" s="5">
        <f>IF(Performance_Data[[#This Row],[Key_Passes]]&gt;0,Performance_Data[[#This Row],[Key_Passes]]*90/Performance_Data[[#This Row],[Minutes_Played]],0)</f>
        <v>2.5714285714285716</v>
      </c>
      <c r="S136" s="5">
        <f>IF(Performance_Data[[#This Row],[Shots]]&gt;0,Performance_Data[[#This Row],[Shots]]*90/Performance_Data[[#This Row],[Minutes_Played]],0)</f>
        <v>3.8571428571428572</v>
      </c>
      <c r="T136" s="6">
        <f>IF(Performance_Data[[#This Row],[Successful_Dribbles]]&gt;0,Performance_Data[[#This Row],[Successful_Dribbles]]*90/Performance_Data[[#This Row],[Minutes_Played]],0)</f>
        <v>7.7142857142857144</v>
      </c>
      <c r="U136" s="5">
        <f>IF(Performance_Data[[#This Row],[Duels_Won]]&gt;0,Performance_Data[[#This Row],[Duels_Won]]*90/Performance_Data[[#This Row],[Minutes_Played]],0)</f>
        <v>11.571428571428571</v>
      </c>
      <c r="V136" s="5">
        <f t="shared" si="29"/>
        <v>2.3424707639997941</v>
      </c>
      <c r="W136" s="5">
        <f t="shared" si="30"/>
        <v>0.80508474576271172</v>
      </c>
      <c r="X136" s="5">
        <f t="shared" si="31"/>
        <v>5.9066611715006951</v>
      </c>
      <c r="Y136" s="5">
        <f t="shared" si="32"/>
        <v>3.7788625006439647</v>
      </c>
      <c r="Z136" s="5">
        <f t="shared" si="33"/>
        <v>10.627386533408892</v>
      </c>
      <c r="AA136" s="5">
        <f t="shared" si="34"/>
        <v>12.778450363196125</v>
      </c>
    </row>
    <row r="137" spans="1:27" x14ac:dyDescent="0.3">
      <c r="A137" s="3" t="s">
        <v>180</v>
      </c>
      <c r="B137" s="9" t="s">
        <v>31</v>
      </c>
      <c r="C137" s="3" t="s">
        <v>32</v>
      </c>
      <c r="D137">
        <v>20</v>
      </c>
      <c r="E137" s="3" t="s">
        <v>23</v>
      </c>
      <c r="F137" s="8">
        <v>45793</v>
      </c>
      <c r="G137">
        <v>46</v>
      </c>
      <c r="H137">
        <v>0</v>
      </c>
      <c r="I137">
        <v>2</v>
      </c>
      <c r="J137">
        <v>2</v>
      </c>
      <c r="K137">
        <v>5</v>
      </c>
      <c r="L137">
        <v>8</v>
      </c>
      <c r="M137">
        <v>1</v>
      </c>
      <c r="N137">
        <v>71</v>
      </c>
      <c r="O137">
        <v>10.4</v>
      </c>
      <c r="P137" s="5">
        <f t="shared" si="28"/>
        <v>0</v>
      </c>
      <c r="Q137" s="5">
        <f>IF(Performance_Data[[#This Row],[Minutes_Played]]&gt;0,Performance_Data[[#This Row],[Assists]]*90/Performance_Data[[#This Row],[Minutes_Played]], 0)</f>
        <v>3.9130434782608696</v>
      </c>
      <c r="R137" s="5">
        <f>IF(Performance_Data[[#This Row],[Key_Passes]]&gt;0,Performance_Data[[#This Row],[Key_Passes]]*90/Performance_Data[[#This Row],[Minutes_Played]],0)</f>
        <v>3.9130434782608696</v>
      </c>
      <c r="S137" s="5">
        <f>IF(Performance_Data[[#This Row],[Shots]]&gt;0,Performance_Data[[#This Row],[Shots]]*90/Performance_Data[[#This Row],[Minutes_Played]],0)</f>
        <v>9.7826086956521738</v>
      </c>
      <c r="T137" s="6">
        <f>IF(Performance_Data[[#This Row],[Successful_Dribbles]]&gt;0,Performance_Data[[#This Row],[Successful_Dribbles]]*90/Performance_Data[[#This Row],[Minutes_Played]],0)</f>
        <v>15.652173913043478</v>
      </c>
      <c r="U137" s="5">
        <f>IF(Performance_Data[[#This Row],[Duels_Won]]&gt;0,Performance_Data[[#This Row],[Duels_Won]]*90/Performance_Data[[#This Row],[Minutes_Played]],0)</f>
        <v>1.9565217391304348</v>
      </c>
      <c r="V137" s="5">
        <f t="shared" si="29"/>
        <v>1.8424707639997941</v>
      </c>
      <c r="W137" s="5">
        <f t="shared" si="30"/>
        <v>1.0876934414148858</v>
      </c>
      <c r="X137" s="5">
        <f t="shared" si="31"/>
        <v>4.6892698671528708</v>
      </c>
      <c r="Y137" s="5">
        <f t="shared" si="32"/>
        <v>4.2353842397743993</v>
      </c>
      <c r="Z137" s="5">
        <f t="shared" si="33"/>
        <v>9.7578213160175871</v>
      </c>
      <c r="AA137" s="5">
        <f t="shared" si="34"/>
        <v>7.6697547110222128</v>
      </c>
    </row>
    <row r="138" spans="1:27" x14ac:dyDescent="0.3">
      <c r="A138" s="3" t="s">
        <v>181</v>
      </c>
      <c r="B138" s="9" t="s">
        <v>31</v>
      </c>
      <c r="C138" s="3" t="s">
        <v>32</v>
      </c>
      <c r="D138">
        <v>20</v>
      </c>
      <c r="E138" s="3" t="s">
        <v>23</v>
      </c>
      <c r="F138" s="8">
        <v>45794</v>
      </c>
      <c r="G138">
        <v>64</v>
      </c>
      <c r="H138">
        <v>0</v>
      </c>
      <c r="I138">
        <v>1</v>
      </c>
      <c r="J138">
        <v>5</v>
      </c>
      <c r="K138">
        <v>4</v>
      </c>
      <c r="L138">
        <v>4</v>
      </c>
      <c r="M138">
        <v>3</v>
      </c>
      <c r="N138">
        <v>65</v>
      </c>
      <c r="O138">
        <v>9.1999999999999993</v>
      </c>
      <c r="P138" s="5">
        <f t="shared" si="28"/>
        <v>0</v>
      </c>
      <c r="Q138" s="5">
        <f>IF(Performance_Data[[#This Row],[Minutes_Played]]&gt;0,Performance_Data[[#This Row],[Assists]]*90/Performance_Data[[#This Row],[Minutes_Played]], 0)</f>
        <v>1.40625</v>
      </c>
      <c r="R138" s="5">
        <f>IF(Performance_Data[[#This Row],[Key_Passes]]&gt;0,Performance_Data[[#This Row],[Key_Passes]]*90/Performance_Data[[#This Row],[Minutes_Played]],0)</f>
        <v>7.03125</v>
      </c>
      <c r="S138" s="5">
        <f>IF(Performance_Data[[#This Row],[Shots]]&gt;0,Performance_Data[[#This Row],[Shots]]*90/Performance_Data[[#This Row],[Minutes_Played]],0)</f>
        <v>5.625</v>
      </c>
      <c r="T138" s="6">
        <f>IF(Performance_Data[[#This Row],[Successful_Dribbles]]&gt;0,Performance_Data[[#This Row],[Successful_Dribbles]]*90/Performance_Data[[#This Row],[Minutes_Played]],0)</f>
        <v>5.625</v>
      </c>
      <c r="U138" s="5">
        <f>IF(Performance_Data[[#This Row],[Duels_Won]]&gt;0,Performance_Data[[#This Row],[Duels_Won]]*90/Performance_Data[[#This Row],[Minutes_Played]],0)</f>
        <v>4.21875</v>
      </c>
      <c r="V138" s="5">
        <f t="shared" si="29"/>
        <v>1.0765133171912833</v>
      </c>
      <c r="W138" s="5">
        <f t="shared" si="30"/>
        <v>1.3689434414148858</v>
      </c>
      <c r="X138" s="5">
        <f t="shared" si="31"/>
        <v>4.1806262501315929</v>
      </c>
      <c r="Y138" s="5">
        <f t="shared" si="32"/>
        <v>4.9774055163701449</v>
      </c>
      <c r="Z138" s="5">
        <f t="shared" si="33"/>
        <v>9.7338851458048214</v>
      </c>
      <c r="AA138" s="5">
        <f t="shared" si="34"/>
        <v>8.5135047110222128</v>
      </c>
    </row>
    <row r="139" spans="1:27" x14ac:dyDescent="0.3">
      <c r="A139" s="3" t="s">
        <v>182</v>
      </c>
      <c r="B139" s="9" t="s">
        <v>31</v>
      </c>
      <c r="C139" s="3" t="s">
        <v>32</v>
      </c>
      <c r="D139">
        <v>20</v>
      </c>
      <c r="E139" s="3" t="s">
        <v>23</v>
      </c>
      <c r="F139" s="8">
        <v>45795</v>
      </c>
      <c r="G139">
        <v>46</v>
      </c>
      <c r="H139">
        <v>1</v>
      </c>
      <c r="I139">
        <v>0</v>
      </c>
      <c r="J139">
        <v>6</v>
      </c>
      <c r="K139">
        <v>3</v>
      </c>
      <c r="L139">
        <v>5</v>
      </c>
      <c r="M139">
        <v>1</v>
      </c>
      <c r="N139">
        <v>87</v>
      </c>
      <c r="O139">
        <v>8.6</v>
      </c>
      <c r="P139" s="5">
        <f t="shared" si="28"/>
        <v>1.9565217391304348</v>
      </c>
      <c r="Q139" s="5">
        <f>IF(Performance_Data[[#This Row],[Minutes_Played]]&gt;0,Performance_Data[[#This Row],[Assists]]*90/Performance_Data[[#This Row],[Minutes_Played]], 0)</f>
        <v>0</v>
      </c>
      <c r="R139" s="5">
        <f>IF(Performance_Data[[#This Row],[Key_Passes]]&gt;0,Performance_Data[[#This Row],[Key_Passes]]*90/Performance_Data[[#This Row],[Minutes_Played]],0)</f>
        <v>11.739130434782609</v>
      </c>
      <c r="S139" s="5">
        <f>IF(Performance_Data[[#This Row],[Shots]]&gt;0,Performance_Data[[#This Row],[Shots]]*90/Performance_Data[[#This Row],[Minutes_Played]],0)</f>
        <v>5.8695652173913047</v>
      </c>
      <c r="T139" s="6">
        <f>IF(Performance_Data[[#This Row],[Successful_Dribbles]]&gt;0,Performance_Data[[#This Row],[Successful_Dribbles]]*90/Performance_Data[[#This Row],[Minutes_Played]],0)</f>
        <v>9.7826086956521738</v>
      </c>
      <c r="U139" s="5">
        <f>IF(Performance_Data[[#This Row],[Duels_Won]]&gt;0,Performance_Data[[#This Row],[Duels_Won]]*90/Performance_Data[[#This Row],[Minutes_Played]],0)</f>
        <v>1.9565217391304348</v>
      </c>
      <c r="V139" s="5">
        <f t="shared" si="29"/>
        <v>1.2106748078745131</v>
      </c>
      <c r="W139" s="5">
        <f t="shared" si="30"/>
        <v>1.3689434414148858</v>
      </c>
      <c r="X139" s="5">
        <f t="shared" si="31"/>
        <v>6.2713094799452573</v>
      </c>
      <c r="Y139" s="5">
        <f t="shared" si="32"/>
        <v>5.6370328455626906</v>
      </c>
      <c r="Z139" s="5">
        <f t="shared" si="33"/>
        <v>9.8904068849352562</v>
      </c>
      <c r="AA139" s="5">
        <f t="shared" si="34"/>
        <v>6.0762376302768706</v>
      </c>
    </row>
    <row r="140" spans="1:27" x14ac:dyDescent="0.3">
      <c r="A140" s="3" t="s">
        <v>183</v>
      </c>
      <c r="B140" s="9" t="s">
        <v>31</v>
      </c>
      <c r="C140" s="3" t="s">
        <v>32</v>
      </c>
      <c r="D140">
        <v>20</v>
      </c>
      <c r="E140" s="3" t="s">
        <v>23</v>
      </c>
      <c r="F140" s="8">
        <v>45796</v>
      </c>
      <c r="G140">
        <v>82</v>
      </c>
      <c r="H140">
        <v>2</v>
      </c>
      <c r="I140">
        <v>1</v>
      </c>
      <c r="J140">
        <v>6</v>
      </c>
      <c r="K140">
        <v>4</v>
      </c>
      <c r="L140">
        <v>1</v>
      </c>
      <c r="M140">
        <v>2</v>
      </c>
      <c r="N140">
        <v>91</v>
      </c>
      <c r="O140">
        <v>11.9</v>
      </c>
      <c r="P140" s="5">
        <f t="shared" si="28"/>
        <v>2.1951219512195124</v>
      </c>
      <c r="Q140" s="5">
        <f>IF(Performance_Data[[#This Row],[Minutes_Played]]&gt;0,Performance_Data[[#This Row],[Assists]]*90/Performance_Data[[#This Row],[Minutes_Played]], 0)</f>
        <v>1.0975609756097562</v>
      </c>
      <c r="R140" s="5">
        <f>IF(Performance_Data[[#This Row],[Key_Passes]]&gt;0,Performance_Data[[#This Row],[Key_Passes]]*90/Performance_Data[[#This Row],[Minutes_Played]],0)</f>
        <v>6.5853658536585362</v>
      </c>
      <c r="S140" s="5">
        <f>IF(Performance_Data[[#This Row],[Shots]]&gt;0,Performance_Data[[#This Row],[Shots]]*90/Performance_Data[[#This Row],[Minutes_Played]],0)</f>
        <v>4.3902439024390247</v>
      </c>
      <c r="T140" s="6">
        <f>IF(Performance_Data[[#This Row],[Successful_Dribbles]]&gt;0,Performance_Data[[#This Row],[Successful_Dribbles]]*90/Performance_Data[[#This Row],[Minutes_Played]],0)</f>
        <v>1.0975609756097562</v>
      </c>
      <c r="U140" s="5">
        <f>IF(Performance_Data[[#This Row],[Duels_Won]]&gt;0,Performance_Data[[#This Row],[Duels_Won]]*90/Performance_Data[[#This Row],[Minutes_Played]],0)</f>
        <v>2.1951219512195124</v>
      </c>
      <c r="V140" s="5">
        <f t="shared" si="29"/>
        <v>1.3446144523557038</v>
      </c>
      <c r="W140" s="5">
        <f t="shared" si="30"/>
        <v>1.283370890774125</v>
      </c>
      <c r="X140" s="5">
        <f t="shared" si="31"/>
        <v>6.3680436676261172</v>
      </c>
      <c r="Y140" s="5">
        <f t="shared" si="32"/>
        <v>5.9049121345250724</v>
      </c>
      <c r="Z140" s="5">
        <f t="shared" si="33"/>
        <v>7.9743258597182232</v>
      </c>
      <c r="AA140" s="5">
        <f t="shared" si="34"/>
        <v>4.3796688001817907</v>
      </c>
    </row>
    <row r="141" spans="1:27" x14ac:dyDescent="0.3">
      <c r="A141" s="3" t="s">
        <v>184</v>
      </c>
      <c r="B141" s="9" t="s">
        <v>31</v>
      </c>
      <c r="C141" s="3" t="s">
        <v>32</v>
      </c>
      <c r="D141">
        <v>20</v>
      </c>
      <c r="E141" s="3" t="s">
        <v>23</v>
      </c>
      <c r="F141" s="8">
        <v>45797</v>
      </c>
      <c r="G141">
        <v>48</v>
      </c>
      <c r="H141">
        <v>0</v>
      </c>
      <c r="I141">
        <v>1</v>
      </c>
      <c r="J141">
        <v>5</v>
      </c>
      <c r="K141">
        <v>5</v>
      </c>
      <c r="L141">
        <v>2</v>
      </c>
      <c r="M141">
        <v>12</v>
      </c>
      <c r="N141">
        <v>66</v>
      </c>
      <c r="O141">
        <v>11.9</v>
      </c>
      <c r="P141" s="5">
        <f t="shared" si="28"/>
        <v>0</v>
      </c>
      <c r="Q141" s="5">
        <f>IF(Performance_Data[[#This Row],[Minutes_Played]]&gt;0,Performance_Data[[#This Row],[Assists]]*90/Performance_Data[[#This Row],[Minutes_Played]], 0)</f>
        <v>1.875</v>
      </c>
      <c r="R141" s="5">
        <f>IF(Performance_Data[[#This Row],[Key_Passes]]&gt;0,Performance_Data[[#This Row],[Key_Passes]]*90/Performance_Data[[#This Row],[Minutes_Played]],0)</f>
        <v>9.375</v>
      </c>
      <c r="S141" s="5">
        <f>IF(Performance_Data[[#This Row],[Shots]]&gt;0,Performance_Data[[#This Row],[Shots]]*90/Performance_Data[[#This Row],[Minutes_Played]],0)</f>
        <v>9.375</v>
      </c>
      <c r="T141" s="6">
        <f>IF(Performance_Data[[#This Row],[Successful_Dribbles]]&gt;0,Performance_Data[[#This Row],[Successful_Dribbles]]*90/Performance_Data[[#This Row],[Minutes_Played]],0)</f>
        <v>3.75</v>
      </c>
      <c r="U141" s="5">
        <f>IF(Performance_Data[[#This Row],[Duels_Won]]&gt;0,Performance_Data[[#This Row],[Duels_Won]]*90/Performance_Data[[#This Row],[Minutes_Played]],0)</f>
        <v>22.5</v>
      </c>
      <c r="V141" s="5">
        <f t="shared" si="29"/>
        <v>0.83032873806998941</v>
      </c>
      <c r="W141" s="5">
        <f t="shared" si="30"/>
        <v>1.658370890774125</v>
      </c>
      <c r="X141" s="5">
        <f t="shared" si="31"/>
        <v>7.7287579533404029</v>
      </c>
      <c r="Y141" s="5">
        <f t="shared" si="32"/>
        <v>7.0084835630965001</v>
      </c>
      <c r="Z141" s="5">
        <f t="shared" si="33"/>
        <v>7.1814687168610813</v>
      </c>
      <c r="AA141" s="5">
        <f t="shared" si="34"/>
        <v>6.5653830858960758</v>
      </c>
    </row>
    <row r="142" spans="1:27" x14ac:dyDescent="0.3">
      <c r="A142" s="3" t="s">
        <v>185</v>
      </c>
      <c r="B142" s="9" t="s">
        <v>33</v>
      </c>
      <c r="C142" s="3" t="s">
        <v>34</v>
      </c>
      <c r="D142">
        <v>19</v>
      </c>
      <c r="E142" s="3" t="s">
        <v>26</v>
      </c>
      <c r="F142" s="8">
        <v>45798</v>
      </c>
      <c r="G142">
        <v>76</v>
      </c>
      <c r="H142">
        <v>0</v>
      </c>
      <c r="I142">
        <v>2</v>
      </c>
      <c r="J142">
        <v>0</v>
      </c>
      <c r="K142">
        <v>1</v>
      </c>
      <c r="L142">
        <v>5</v>
      </c>
      <c r="M142">
        <v>12</v>
      </c>
      <c r="N142">
        <v>92</v>
      </c>
      <c r="O142">
        <v>11.4</v>
      </c>
      <c r="P142" s="5">
        <f t="shared" si="28"/>
        <v>0</v>
      </c>
      <c r="Q142" s="5">
        <f>IF(Performance_Data[[#This Row],[Minutes_Played]]&gt;0,Performance_Data[[#This Row],[Assists]]*90/Performance_Data[[#This Row],[Minutes_Played]], 0)</f>
        <v>2.3684210526315788</v>
      </c>
      <c r="R142" s="5">
        <f>IF(Performance_Data[[#This Row],[Key_Passes]]&gt;0,Performance_Data[[#This Row],[Key_Passes]]*90/Performance_Data[[#This Row],[Minutes_Played]],0)</f>
        <v>0</v>
      </c>
      <c r="S142" s="5">
        <f>IF(Performance_Data[[#This Row],[Shots]]&gt;0,Performance_Data[[#This Row],[Shots]]*90/Performance_Data[[#This Row],[Minutes_Played]],0)</f>
        <v>1.1842105263157894</v>
      </c>
      <c r="T142" s="6">
        <f>IF(Performance_Data[[#This Row],[Successful_Dribbles]]&gt;0,Performance_Data[[#This Row],[Successful_Dribbles]]*90/Performance_Data[[#This Row],[Minutes_Played]],0)</f>
        <v>5.9210526315789478</v>
      </c>
      <c r="U142" s="5">
        <f>IF(Performance_Data[[#This Row],[Duels_Won]]&gt;0,Performance_Data[[#This Row],[Duels_Won]]*90/Performance_Data[[#This Row],[Minutes_Played]],0)</f>
        <v>14.210526315789474</v>
      </c>
      <c r="V142" s="5" t="str">
        <f t="shared" si="29"/>
        <v/>
      </c>
      <c r="W142" s="5" t="str">
        <f t="shared" si="30"/>
        <v/>
      </c>
      <c r="X142" s="5" t="str">
        <f t="shared" si="31"/>
        <v/>
      </c>
      <c r="Y142" s="5" t="str">
        <f t="shared" si="32"/>
        <v/>
      </c>
      <c r="Z142" s="5" t="str">
        <f t="shared" si="33"/>
        <v/>
      </c>
      <c r="AA142" s="5" t="str">
        <f t="shared" si="34"/>
        <v/>
      </c>
    </row>
    <row r="143" spans="1:27" x14ac:dyDescent="0.3">
      <c r="A143" s="3" t="s">
        <v>186</v>
      </c>
      <c r="B143" s="9" t="s">
        <v>33</v>
      </c>
      <c r="C143" s="3" t="s">
        <v>34</v>
      </c>
      <c r="D143">
        <v>19</v>
      </c>
      <c r="E143" s="3" t="s">
        <v>26</v>
      </c>
      <c r="F143" s="8">
        <v>45799</v>
      </c>
      <c r="G143">
        <v>39</v>
      </c>
      <c r="H143">
        <v>2</v>
      </c>
      <c r="I143">
        <v>1</v>
      </c>
      <c r="J143">
        <v>0</v>
      </c>
      <c r="K143">
        <v>4</v>
      </c>
      <c r="L143">
        <v>1</v>
      </c>
      <c r="M143">
        <v>6</v>
      </c>
      <c r="N143">
        <v>80</v>
      </c>
      <c r="O143">
        <v>9.5</v>
      </c>
      <c r="P143" s="5">
        <f t="shared" si="28"/>
        <v>4.615384615384615</v>
      </c>
      <c r="Q143" s="5">
        <f>IF(Performance_Data[[#This Row],[Minutes_Played]]&gt;0,Performance_Data[[#This Row],[Assists]]*90/Performance_Data[[#This Row],[Minutes_Played]], 0)</f>
        <v>2.3076923076923075</v>
      </c>
      <c r="R143" s="5">
        <f>IF(Performance_Data[[#This Row],[Key_Passes]]&gt;0,Performance_Data[[#This Row],[Key_Passes]]*90/Performance_Data[[#This Row],[Minutes_Played]],0)</f>
        <v>0</v>
      </c>
      <c r="S143" s="5">
        <f>IF(Performance_Data[[#This Row],[Shots]]&gt;0,Performance_Data[[#This Row],[Shots]]*90/Performance_Data[[#This Row],[Minutes_Played]],0)</f>
        <v>9.2307692307692299</v>
      </c>
      <c r="T143" s="6">
        <f>IF(Performance_Data[[#This Row],[Successful_Dribbles]]&gt;0,Performance_Data[[#This Row],[Successful_Dribbles]]*90/Performance_Data[[#This Row],[Minutes_Played]],0)</f>
        <v>2.3076923076923075</v>
      </c>
      <c r="U143" s="5">
        <f>IF(Performance_Data[[#This Row],[Duels_Won]]&gt;0,Performance_Data[[#This Row],[Duels_Won]]*90/Performance_Data[[#This Row],[Minutes_Played]],0)</f>
        <v>13.846153846153847</v>
      </c>
      <c r="V143" s="5" t="str">
        <f t="shared" si="29"/>
        <v/>
      </c>
      <c r="W143" s="5" t="str">
        <f t="shared" si="30"/>
        <v/>
      </c>
      <c r="X143" s="5" t="str">
        <f t="shared" si="31"/>
        <v/>
      </c>
      <c r="Y143" s="5" t="str">
        <f t="shared" si="32"/>
        <v/>
      </c>
      <c r="Z143" s="5" t="str">
        <f t="shared" si="33"/>
        <v/>
      </c>
      <c r="AA143" s="5" t="str">
        <f t="shared" si="34"/>
        <v/>
      </c>
    </row>
    <row r="144" spans="1:27" x14ac:dyDescent="0.3">
      <c r="A144" s="3" t="s">
        <v>187</v>
      </c>
      <c r="B144" s="9" t="s">
        <v>33</v>
      </c>
      <c r="C144" s="3" t="s">
        <v>34</v>
      </c>
      <c r="D144">
        <v>19</v>
      </c>
      <c r="E144" s="3" t="s">
        <v>26</v>
      </c>
      <c r="F144" s="8">
        <v>45800</v>
      </c>
      <c r="G144">
        <v>76</v>
      </c>
      <c r="H144">
        <v>0</v>
      </c>
      <c r="I144">
        <v>2</v>
      </c>
      <c r="J144">
        <v>0</v>
      </c>
      <c r="K144">
        <v>2</v>
      </c>
      <c r="L144">
        <v>5</v>
      </c>
      <c r="M144">
        <v>12</v>
      </c>
      <c r="N144">
        <v>90</v>
      </c>
      <c r="O144">
        <v>11.2</v>
      </c>
      <c r="P144" s="5">
        <f t="shared" si="28"/>
        <v>0</v>
      </c>
      <c r="Q144" s="5">
        <f>IF(Performance_Data[[#This Row],[Minutes_Played]]&gt;0,Performance_Data[[#This Row],[Assists]]*90/Performance_Data[[#This Row],[Minutes_Played]], 0)</f>
        <v>2.3684210526315788</v>
      </c>
      <c r="R144" s="5">
        <f>IF(Performance_Data[[#This Row],[Key_Passes]]&gt;0,Performance_Data[[#This Row],[Key_Passes]]*90/Performance_Data[[#This Row],[Minutes_Played]],0)</f>
        <v>0</v>
      </c>
      <c r="S144" s="5">
        <f>IF(Performance_Data[[#This Row],[Shots]]&gt;0,Performance_Data[[#This Row],[Shots]]*90/Performance_Data[[#This Row],[Minutes_Played]],0)</f>
        <v>2.3684210526315788</v>
      </c>
      <c r="T144" s="6">
        <f>IF(Performance_Data[[#This Row],[Successful_Dribbles]]&gt;0,Performance_Data[[#This Row],[Successful_Dribbles]]*90/Performance_Data[[#This Row],[Minutes_Played]],0)</f>
        <v>5.9210526315789478</v>
      </c>
      <c r="U144" s="5">
        <f>IF(Performance_Data[[#This Row],[Duels_Won]]&gt;0,Performance_Data[[#This Row],[Duels_Won]]*90/Performance_Data[[#This Row],[Minutes_Played]],0)</f>
        <v>14.210526315789474</v>
      </c>
      <c r="V144" s="5" t="str">
        <f t="shared" si="29"/>
        <v/>
      </c>
      <c r="W144" s="5" t="str">
        <f t="shared" si="30"/>
        <v/>
      </c>
      <c r="X144" s="5" t="str">
        <f t="shared" si="31"/>
        <v/>
      </c>
      <c r="Y144" s="5" t="str">
        <f t="shared" si="32"/>
        <v/>
      </c>
      <c r="Z144" s="5" t="str">
        <f t="shared" si="33"/>
        <v/>
      </c>
      <c r="AA144" s="5" t="str">
        <f t="shared" si="34"/>
        <v/>
      </c>
    </row>
    <row r="145" spans="1:27" x14ac:dyDescent="0.3">
      <c r="A145" s="3" t="s">
        <v>188</v>
      </c>
      <c r="B145" s="9" t="s">
        <v>33</v>
      </c>
      <c r="C145" s="3" t="s">
        <v>34</v>
      </c>
      <c r="D145">
        <v>19</v>
      </c>
      <c r="E145" s="3" t="s">
        <v>26</v>
      </c>
      <c r="F145" s="8">
        <v>45801</v>
      </c>
      <c r="G145">
        <v>52</v>
      </c>
      <c r="H145">
        <v>2</v>
      </c>
      <c r="I145">
        <v>1</v>
      </c>
      <c r="J145">
        <v>4</v>
      </c>
      <c r="K145">
        <v>4</v>
      </c>
      <c r="L145">
        <v>4</v>
      </c>
      <c r="M145">
        <v>7</v>
      </c>
      <c r="N145">
        <v>81</v>
      </c>
      <c r="O145">
        <v>11.5</v>
      </c>
      <c r="P145" s="5">
        <f t="shared" si="28"/>
        <v>3.4615384615384617</v>
      </c>
      <c r="Q145" s="5">
        <f>IF(Performance_Data[[#This Row],[Minutes_Played]]&gt;0,Performance_Data[[#This Row],[Assists]]*90/Performance_Data[[#This Row],[Minutes_Played]], 0)</f>
        <v>1.7307692307692308</v>
      </c>
      <c r="R145" s="5">
        <f>IF(Performance_Data[[#This Row],[Key_Passes]]&gt;0,Performance_Data[[#This Row],[Key_Passes]]*90/Performance_Data[[#This Row],[Minutes_Played]],0)</f>
        <v>6.9230769230769234</v>
      </c>
      <c r="S145" s="5">
        <f>IF(Performance_Data[[#This Row],[Shots]]&gt;0,Performance_Data[[#This Row],[Shots]]*90/Performance_Data[[#This Row],[Minutes_Played]],0)</f>
        <v>6.9230769230769234</v>
      </c>
      <c r="T145" s="6">
        <f>IF(Performance_Data[[#This Row],[Successful_Dribbles]]&gt;0,Performance_Data[[#This Row],[Successful_Dribbles]]*90/Performance_Data[[#This Row],[Minutes_Played]],0)</f>
        <v>6.9230769230769234</v>
      </c>
      <c r="U145" s="5">
        <f>IF(Performance_Data[[#This Row],[Duels_Won]]&gt;0,Performance_Data[[#This Row],[Duels_Won]]*90/Performance_Data[[#This Row],[Minutes_Played]],0)</f>
        <v>12.115384615384615</v>
      </c>
      <c r="V145" s="5" t="str">
        <f t="shared" si="29"/>
        <v/>
      </c>
      <c r="W145" s="5" t="str">
        <f t="shared" si="30"/>
        <v/>
      </c>
      <c r="X145" s="5" t="str">
        <f t="shared" si="31"/>
        <v/>
      </c>
      <c r="Y145" s="5" t="str">
        <f t="shared" si="32"/>
        <v/>
      </c>
      <c r="Z145" s="5" t="str">
        <f t="shared" si="33"/>
        <v/>
      </c>
      <c r="AA145" s="5" t="str">
        <f t="shared" si="34"/>
        <v/>
      </c>
    </row>
    <row r="146" spans="1:27" x14ac:dyDescent="0.3">
      <c r="A146" s="3" t="s">
        <v>189</v>
      </c>
      <c r="B146" s="9" t="s">
        <v>33</v>
      </c>
      <c r="C146" s="3" t="s">
        <v>34</v>
      </c>
      <c r="D146">
        <v>19</v>
      </c>
      <c r="E146" s="3" t="s">
        <v>26</v>
      </c>
      <c r="F146" s="8">
        <v>45802</v>
      </c>
      <c r="G146">
        <v>68</v>
      </c>
      <c r="H146">
        <v>0</v>
      </c>
      <c r="I146">
        <v>0</v>
      </c>
      <c r="J146">
        <v>1</v>
      </c>
      <c r="K146">
        <v>4</v>
      </c>
      <c r="L146">
        <v>0</v>
      </c>
      <c r="M146">
        <v>12</v>
      </c>
      <c r="N146">
        <v>70</v>
      </c>
      <c r="O146">
        <v>10.1</v>
      </c>
      <c r="P146" s="5">
        <f t="shared" si="28"/>
        <v>0</v>
      </c>
      <c r="Q146" s="5">
        <f>IF(Performance_Data[[#This Row],[Minutes_Played]]&gt;0,Performance_Data[[#This Row],[Assists]]*90/Performance_Data[[#This Row],[Minutes_Played]], 0)</f>
        <v>0</v>
      </c>
      <c r="R146" s="5">
        <f>IF(Performance_Data[[#This Row],[Key_Passes]]&gt;0,Performance_Data[[#This Row],[Key_Passes]]*90/Performance_Data[[#This Row],[Minutes_Played]],0)</f>
        <v>1.3235294117647058</v>
      </c>
      <c r="S146" s="5">
        <f>IF(Performance_Data[[#This Row],[Shots]]&gt;0,Performance_Data[[#This Row],[Shots]]*90/Performance_Data[[#This Row],[Minutes_Played]],0)</f>
        <v>5.2941176470588234</v>
      </c>
      <c r="T146" s="6">
        <f>IF(Performance_Data[[#This Row],[Successful_Dribbles]]&gt;0,Performance_Data[[#This Row],[Successful_Dribbles]]*90/Performance_Data[[#This Row],[Minutes_Played]],0)</f>
        <v>0</v>
      </c>
      <c r="U146" s="5">
        <f>IF(Performance_Data[[#This Row],[Duels_Won]]&gt;0,Performance_Data[[#This Row],[Duels_Won]]*90/Performance_Data[[#This Row],[Minutes_Played]],0)</f>
        <v>15.882352941176471</v>
      </c>
      <c r="V146" s="5">
        <f t="shared" si="29"/>
        <v>1.6153846153846154</v>
      </c>
      <c r="W146" s="5">
        <f t="shared" si="30"/>
        <v>1.7550607287449391</v>
      </c>
      <c r="X146" s="5">
        <f t="shared" si="31"/>
        <v>1.6493212669683259</v>
      </c>
      <c r="Y146" s="5">
        <f t="shared" si="32"/>
        <v>5.0001190759704688</v>
      </c>
      <c r="Z146" s="5">
        <f t="shared" si="33"/>
        <v>4.2145748987854255</v>
      </c>
      <c r="AA146" s="5">
        <f t="shared" si="34"/>
        <v>14.052988806858774</v>
      </c>
    </row>
    <row r="147" spans="1:27" x14ac:dyDescent="0.3">
      <c r="A147" s="3" t="s">
        <v>190</v>
      </c>
      <c r="B147" s="9" t="s">
        <v>33</v>
      </c>
      <c r="C147" s="3" t="s">
        <v>34</v>
      </c>
      <c r="D147">
        <v>19</v>
      </c>
      <c r="E147" s="3" t="s">
        <v>26</v>
      </c>
      <c r="F147" s="8">
        <v>45803</v>
      </c>
      <c r="G147">
        <v>82</v>
      </c>
      <c r="H147">
        <v>1</v>
      </c>
      <c r="I147">
        <v>0</v>
      </c>
      <c r="J147">
        <v>2</v>
      </c>
      <c r="K147">
        <v>3</v>
      </c>
      <c r="L147">
        <v>4</v>
      </c>
      <c r="M147">
        <v>11</v>
      </c>
      <c r="N147">
        <v>77</v>
      </c>
      <c r="O147">
        <v>10.8</v>
      </c>
      <c r="P147" s="5">
        <f t="shared" si="28"/>
        <v>1.0975609756097562</v>
      </c>
      <c r="Q147" s="5">
        <f>IF(Performance_Data[[#This Row],[Minutes_Played]]&gt;0,Performance_Data[[#This Row],[Assists]]*90/Performance_Data[[#This Row],[Minutes_Played]], 0)</f>
        <v>0</v>
      </c>
      <c r="R147" s="5">
        <f>IF(Performance_Data[[#This Row],[Key_Passes]]&gt;0,Performance_Data[[#This Row],[Key_Passes]]*90/Performance_Data[[#This Row],[Minutes_Played]],0)</f>
        <v>2.1951219512195124</v>
      </c>
      <c r="S147" s="5">
        <f>IF(Performance_Data[[#This Row],[Shots]]&gt;0,Performance_Data[[#This Row],[Shots]]*90/Performance_Data[[#This Row],[Minutes_Played]],0)</f>
        <v>3.2926829268292681</v>
      </c>
      <c r="T147" s="6">
        <f>IF(Performance_Data[[#This Row],[Successful_Dribbles]]&gt;0,Performance_Data[[#This Row],[Successful_Dribbles]]*90/Performance_Data[[#This Row],[Minutes_Played]],0)</f>
        <v>4.3902439024390247</v>
      </c>
      <c r="U147" s="5">
        <f>IF(Performance_Data[[#This Row],[Duels_Won]]&gt;0,Performance_Data[[#This Row],[Duels_Won]]*90/Performance_Data[[#This Row],[Minutes_Played]],0)</f>
        <v>12.073170731707316</v>
      </c>
      <c r="V147" s="5">
        <f t="shared" si="29"/>
        <v>1.8348968105065666</v>
      </c>
      <c r="W147" s="5">
        <f t="shared" si="30"/>
        <v>1.2813765182186234</v>
      </c>
      <c r="X147" s="5">
        <f t="shared" si="31"/>
        <v>2.0883456572122285</v>
      </c>
      <c r="Y147" s="5">
        <f t="shared" si="32"/>
        <v>5.4218135560731646</v>
      </c>
      <c r="Z147" s="5">
        <f t="shared" si="33"/>
        <v>3.9084131529574409</v>
      </c>
      <c r="AA147" s="5">
        <f t="shared" si="34"/>
        <v>13.625517690042344</v>
      </c>
    </row>
    <row r="148" spans="1:27" x14ac:dyDescent="0.3">
      <c r="A148" s="3" t="s">
        <v>191</v>
      </c>
      <c r="B148" s="9" t="s">
        <v>33</v>
      </c>
      <c r="C148" s="3" t="s">
        <v>34</v>
      </c>
      <c r="D148">
        <v>19</v>
      </c>
      <c r="E148" s="3" t="s">
        <v>26</v>
      </c>
      <c r="F148" s="8">
        <v>45804</v>
      </c>
      <c r="G148">
        <v>47</v>
      </c>
      <c r="H148">
        <v>1</v>
      </c>
      <c r="I148">
        <v>0</v>
      </c>
      <c r="J148">
        <v>6</v>
      </c>
      <c r="K148">
        <v>5</v>
      </c>
      <c r="L148">
        <v>1</v>
      </c>
      <c r="M148">
        <v>8</v>
      </c>
      <c r="N148">
        <v>86</v>
      </c>
      <c r="O148">
        <v>10.5</v>
      </c>
      <c r="P148" s="5">
        <f t="shared" si="28"/>
        <v>1.9148936170212767</v>
      </c>
      <c r="Q148" s="5">
        <f>IF(Performance_Data[[#This Row],[Minutes_Played]]&gt;0,Performance_Data[[#This Row],[Assists]]*90/Performance_Data[[#This Row],[Minutes_Played]], 0)</f>
        <v>0</v>
      </c>
      <c r="R148" s="5">
        <f>IF(Performance_Data[[#This Row],[Key_Passes]]&gt;0,Performance_Data[[#This Row],[Key_Passes]]*90/Performance_Data[[#This Row],[Minutes_Played]],0)</f>
        <v>11.48936170212766</v>
      </c>
      <c r="S148" s="5">
        <f>IF(Performance_Data[[#This Row],[Shots]]&gt;0,Performance_Data[[#This Row],[Shots]]*90/Performance_Data[[#This Row],[Minutes_Played]],0)</f>
        <v>9.5744680851063837</v>
      </c>
      <c r="T148" s="6">
        <f>IF(Performance_Data[[#This Row],[Successful_Dribbles]]&gt;0,Performance_Data[[#This Row],[Successful_Dribbles]]*90/Performance_Data[[#This Row],[Minutes_Played]],0)</f>
        <v>1.9148936170212767</v>
      </c>
      <c r="U148" s="5">
        <f>IF(Performance_Data[[#This Row],[Duels_Won]]&gt;0,Performance_Data[[#This Row],[Duels_Won]]*90/Performance_Data[[#This Row],[Minutes_Played]],0)</f>
        <v>15.319148936170214</v>
      </c>
      <c r="V148" s="5">
        <f t="shared" si="29"/>
        <v>1.2947986108338989</v>
      </c>
      <c r="W148" s="5">
        <f t="shared" si="30"/>
        <v>0.81983805668016196</v>
      </c>
      <c r="X148" s="5">
        <f t="shared" si="31"/>
        <v>4.3862179976377602</v>
      </c>
      <c r="Y148" s="5">
        <f t="shared" si="32"/>
        <v>5.4905533269405948</v>
      </c>
      <c r="Z148" s="5">
        <f t="shared" si="33"/>
        <v>3.8298534148232348</v>
      </c>
      <c r="AA148" s="5">
        <f t="shared" si="34"/>
        <v>13.920116708045617</v>
      </c>
    </row>
    <row r="149" spans="1:27" x14ac:dyDescent="0.3">
      <c r="A149" s="3" t="s">
        <v>192</v>
      </c>
      <c r="B149" s="9" t="s">
        <v>33</v>
      </c>
      <c r="C149" s="3" t="s">
        <v>34</v>
      </c>
      <c r="D149">
        <v>19</v>
      </c>
      <c r="E149" s="3" t="s">
        <v>26</v>
      </c>
      <c r="F149" s="8">
        <v>45805</v>
      </c>
      <c r="G149">
        <v>61</v>
      </c>
      <c r="H149">
        <v>2</v>
      </c>
      <c r="I149">
        <v>0</v>
      </c>
      <c r="J149">
        <v>5</v>
      </c>
      <c r="K149">
        <v>1</v>
      </c>
      <c r="L149">
        <v>8</v>
      </c>
      <c r="M149">
        <v>4</v>
      </c>
      <c r="N149">
        <v>74</v>
      </c>
      <c r="O149">
        <v>8.1</v>
      </c>
      <c r="P149" s="5">
        <f t="shared" si="28"/>
        <v>2.9508196721311477</v>
      </c>
      <c r="Q149" s="5">
        <f>IF(Performance_Data[[#This Row],[Minutes_Played]]&gt;0,Performance_Data[[#This Row],[Assists]]*90/Performance_Data[[#This Row],[Minutes_Played]], 0)</f>
        <v>0</v>
      </c>
      <c r="R149" s="5">
        <f>IF(Performance_Data[[#This Row],[Key_Passes]]&gt;0,Performance_Data[[#This Row],[Key_Passes]]*90/Performance_Data[[#This Row],[Minutes_Played]],0)</f>
        <v>7.3770491803278686</v>
      </c>
      <c r="S149" s="5">
        <f>IF(Performance_Data[[#This Row],[Shots]]&gt;0,Performance_Data[[#This Row],[Shots]]*90/Performance_Data[[#This Row],[Minutes_Played]],0)</f>
        <v>1.4754098360655739</v>
      </c>
      <c r="T149" s="6">
        <f>IF(Performance_Data[[#This Row],[Successful_Dribbles]]&gt;0,Performance_Data[[#This Row],[Successful_Dribbles]]*90/Performance_Data[[#This Row],[Minutes_Played]],0)</f>
        <v>11.803278688524591</v>
      </c>
      <c r="U149" s="5">
        <f>IF(Performance_Data[[#This Row],[Duels_Won]]&gt;0,Performance_Data[[#This Row],[Duels_Won]]*90/Performance_Data[[#This Row],[Minutes_Played]],0)</f>
        <v>5.9016393442622954</v>
      </c>
      <c r="V149" s="5">
        <f t="shared" si="29"/>
        <v>1.8849625452601284</v>
      </c>
      <c r="W149" s="5">
        <f t="shared" si="30"/>
        <v>0.34615384615384615</v>
      </c>
      <c r="X149" s="5">
        <f t="shared" si="31"/>
        <v>5.8616278337033343</v>
      </c>
      <c r="Y149" s="5">
        <f t="shared" si="32"/>
        <v>5.3119510836273944</v>
      </c>
      <c r="Z149" s="5">
        <f t="shared" si="33"/>
        <v>5.006298626212363</v>
      </c>
      <c r="AA149" s="5">
        <f t="shared" si="34"/>
        <v>12.258339313740182</v>
      </c>
    </row>
    <row r="150" spans="1:27" x14ac:dyDescent="0.3">
      <c r="A150" s="3" t="s">
        <v>193</v>
      </c>
      <c r="B150" s="9" t="s">
        <v>33</v>
      </c>
      <c r="C150" s="3" t="s">
        <v>34</v>
      </c>
      <c r="D150">
        <v>19</v>
      </c>
      <c r="E150" s="3" t="s">
        <v>26</v>
      </c>
      <c r="F150" s="8">
        <v>45806</v>
      </c>
      <c r="G150">
        <v>90</v>
      </c>
      <c r="H150">
        <v>0</v>
      </c>
      <c r="I150">
        <v>0</v>
      </c>
      <c r="J150">
        <v>3</v>
      </c>
      <c r="K150">
        <v>6</v>
      </c>
      <c r="L150">
        <v>4</v>
      </c>
      <c r="M150">
        <v>5</v>
      </c>
      <c r="N150">
        <v>77</v>
      </c>
      <c r="O150">
        <v>11.1</v>
      </c>
      <c r="P150" s="5">
        <f t="shared" si="28"/>
        <v>0</v>
      </c>
      <c r="Q150" s="5">
        <f>IF(Performance_Data[[#This Row],[Minutes_Played]]&gt;0,Performance_Data[[#This Row],[Assists]]*90/Performance_Data[[#This Row],[Minutes_Played]], 0)</f>
        <v>0</v>
      </c>
      <c r="R150" s="5">
        <f>IF(Performance_Data[[#This Row],[Key_Passes]]&gt;0,Performance_Data[[#This Row],[Key_Passes]]*90/Performance_Data[[#This Row],[Minutes_Played]],0)</f>
        <v>3</v>
      </c>
      <c r="S150" s="5">
        <f>IF(Performance_Data[[#This Row],[Shots]]&gt;0,Performance_Data[[#This Row],[Shots]]*90/Performance_Data[[#This Row],[Minutes_Played]],0)</f>
        <v>6</v>
      </c>
      <c r="T150" s="6">
        <f>IF(Performance_Data[[#This Row],[Successful_Dribbles]]&gt;0,Performance_Data[[#This Row],[Successful_Dribbles]]*90/Performance_Data[[#This Row],[Minutes_Played]],0)</f>
        <v>4</v>
      </c>
      <c r="U150" s="5">
        <f>IF(Performance_Data[[#This Row],[Duels_Won]]&gt;0,Performance_Data[[#This Row],[Duels_Won]]*90/Performance_Data[[#This Row],[Minutes_Played]],0)</f>
        <v>5</v>
      </c>
      <c r="V150" s="5">
        <f t="shared" si="29"/>
        <v>1.1926548529524361</v>
      </c>
      <c r="W150" s="5">
        <f t="shared" si="30"/>
        <v>0</v>
      </c>
      <c r="X150" s="5">
        <f t="shared" si="31"/>
        <v>5.0770124490879498</v>
      </c>
      <c r="Y150" s="5">
        <f t="shared" si="32"/>
        <v>5.1273356990120096</v>
      </c>
      <c r="Z150" s="5">
        <f t="shared" si="33"/>
        <v>4.4216832415969787</v>
      </c>
      <c r="AA150" s="5">
        <f t="shared" si="34"/>
        <v>10.835262390663258</v>
      </c>
    </row>
    <row r="151" spans="1:27" x14ac:dyDescent="0.3">
      <c r="A151" s="3" t="s">
        <v>194</v>
      </c>
      <c r="B151" s="9" t="s">
        <v>33</v>
      </c>
      <c r="C151" s="3" t="s">
        <v>34</v>
      </c>
      <c r="D151">
        <v>19</v>
      </c>
      <c r="E151" s="3" t="s">
        <v>26</v>
      </c>
      <c r="F151" s="8">
        <v>45807</v>
      </c>
      <c r="G151">
        <v>54</v>
      </c>
      <c r="H151">
        <v>1</v>
      </c>
      <c r="I151">
        <v>2</v>
      </c>
      <c r="J151">
        <v>3</v>
      </c>
      <c r="K151">
        <v>6</v>
      </c>
      <c r="L151">
        <v>1</v>
      </c>
      <c r="M151">
        <v>0</v>
      </c>
      <c r="N151">
        <v>83</v>
      </c>
      <c r="O151">
        <v>8.6</v>
      </c>
      <c r="P151" s="5">
        <f t="shared" si="28"/>
        <v>1.6666666666666667</v>
      </c>
      <c r="Q151" s="5">
        <f>IF(Performance_Data[[#This Row],[Minutes_Played]]&gt;0,Performance_Data[[#This Row],[Assists]]*90/Performance_Data[[#This Row],[Minutes_Played]], 0)</f>
        <v>3.3333333333333335</v>
      </c>
      <c r="R151" s="5">
        <f>IF(Performance_Data[[#This Row],[Key_Passes]]&gt;0,Performance_Data[[#This Row],[Key_Passes]]*90/Performance_Data[[#This Row],[Minutes_Played]],0)</f>
        <v>5</v>
      </c>
      <c r="S151" s="5">
        <f>IF(Performance_Data[[#This Row],[Shots]]&gt;0,Performance_Data[[#This Row],[Shots]]*90/Performance_Data[[#This Row],[Minutes_Played]],0)</f>
        <v>10</v>
      </c>
      <c r="T151" s="6">
        <f>IF(Performance_Data[[#This Row],[Successful_Dribbles]]&gt;0,Performance_Data[[#This Row],[Successful_Dribbles]]*90/Performance_Data[[#This Row],[Minutes_Played]],0)</f>
        <v>1.6666666666666667</v>
      </c>
      <c r="U151" s="5">
        <f>IF(Performance_Data[[#This Row],[Duels_Won]]&gt;0,Performance_Data[[#This Row],[Duels_Won]]*90/Performance_Data[[#This Row],[Minutes_Played]],0)</f>
        <v>0</v>
      </c>
      <c r="V151" s="5">
        <f t="shared" si="29"/>
        <v>1.5259881862857694</v>
      </c>
      <c r="W151" s="5">
        <f t="shared" si="30"/>
        <v>0.66666666666666674</v>
      </c>
      <c r="X151" s="5">
        <f t="shared" si="31"/>
        <v>5.8123065667350087</v>
      </c>
      <c r="Y151" s="5">
        <f t="shared" si="32"/>
        <v>6.0685121696002451</v>
      </c>
      <c r="Z151" s="5">
        <f t="shared" si="33"/>
        <v>4.7550165749303117</v>
      </c>
      <c r="AA151" s="5">
        <f t="shared" si="34"/>
        <v>7.6587918024279649</v>
      </c>
    </row>
    <row r="152" spans="1:27" x14ac:dyDescent="0.3">
      <c r="A152" s="3" t="s">
        <v>195</v>
      </c>
      <c r="B152" s="9" t="s">
        <v>33</v>
      </c>
      <c r="C152" s="3" t="s">
        <v>34</v>
      </c>
      <c r="D152">
        <v>19</v>
      </c>
      <c r="E152" s="3" t="s">
        <v>26</v>
      </c>
      <c r="F152" s="8">
        <v>45808</v>
      </c>
      <c r="G152">
        <v>40</v>
      </c>
      <c r="H152">
        <v>0</v>
      </c>
      <c r="I152">
        <v>2</v>
      </c>
      <c r="J152">
        <v>2</v>
      </c>
      <c r="K152">
        <v>1</v>
      </c>
      <c r="L152">
        <v>7</v>
      </c>
      <c r="M152">
        <v>9</v>
      </c>
      <c r="N152">
        <v>87</v>
      </c>
      <c r="O152">
        <v>8</v>
      </c>
      <c r="P152" s="5">
        <f t="shared" si="28"/>
        <v>0</v>
      </c>
      <c r="Q152" s="5">
        <f>IF(Performance_Data[[#This Row],[Minutes_Played]]&gt;0,Performance_Data[[#This Row],[Assists]]*90/Performance_Data[[#This Row],[Minutes_Played]], 0)</f>
        <v>4.5</v>
      </c>
      <c r="R152" s="5">
        <f>IF(Performance_Data[[#This Row],[Key_Passes]]&gt;0,Performance_Data[[#This Row],[Key_Passes]]*90/Performance_Data[[#This Row],[Minutes_Played]],0)</f>
        <v>4.5</v>
      </c>
      <c r="S152" s="5">
        <f>IF(Performance_Data[[#This Row],[Shots]]&gt;0,Performance_Data[[#This Row],[Shots]]*90/Performance_Data[[#This Row],[Minutes_Played]],0)</f>
        <v>2.25</v>
      </c>
      <c r="T152" s="6">
        <f>IF(Performance_Data[[#This Row],[Successful_Dribbles]]&gt;0,Performance_Data[[#This Row],[Successful_Dribbles]]*90/Performance_Data[[#This Row],[Minutes_Played]],0)</f>
        <v>15.75</v>
      </c>
      <c r="U152" s="5">
        <f>IF(Performance_Data[[#This Row],[Duels_Won]]&gt;0,Performance_Data[[#This Row],[Duels_Won]]*90/Performance_Data[[#This Row],[Minutes_Played]],0)</f>
        <v>20.25</v>
      </c>
      <c r="V152" s="5">
        <f t="shared" si="29"/>
        <v>1.3064759911638182</v>
      </c>
      <c r="W152" s="5">
        <f t="shared" si="30"/>
        <v>1.5666666666666669</v>
      </c>
      <c r="X152" s="5">
        <f t="shared" si="31"/>
        <v>6.2732821764911062</v>
      </c>
      <c r="Y152" s="5">
        <f t="shared" si="32"/>
        <v>5.859975584234391</v>
      </c>
      <c r="Z152" s="5">
        <f t="shared" si="33"/>
        <v>7.0269677944425073</v>
      </c>
      <c r="AA152" s="5">
        <f t="shared" si="34"/>
        <v>9.2941576560865009</v>
      </c>
    </row>
    <row r="153" spans="1:27" x14ac:dyDescent="0.3">
      <c r="A153" s="3" t="s">
        <v>196</v>
      </c>
      <c r="B153" s="9" t="s">
        <v>33</v>
      </c>
      <c r="C153" s="3" t="s">
        <v>34</v>
      </c>
      <c r="D153">
        <v>19</v>
      </c>
      <c r="E153" s="3" t="s">
        <v>26</v>
      </c>
      <c r="F153" s="8">
        <v>45809</v>
      </c>
      <c r="G153">
        <v>38</v>
      </c>
      <c r="H153">
        <v>0</v>
      </c>
      <c r="I153">
        <v>1</v>
      </c>
      <c r="J153">
        <v>2</v>
      </c>
      <c r="K153">
        <v>5</v>
      </c>
      <c r="L153">
        <v>7</v>
      </c>
      <c r="M153">
        <v>10</v>
      </c>
      <c r="N153">
        <v>86</v>
      </c>
      <c r="O153">
        <v>9</v>
      </c>
      <c r="P153" s="5">
        <f t="shared" si="28"/>
        <v>0</v>
      </c>
      <c r="Q153" s="5">
        <f>IF(Performance_Data[[#This Row],[Minutes_Played]]&gt;0,Performance_Data[[#This Row],[Assists]]*90/Performance_Data[[#This Row],[Minutes_Played]], 0)</f>
        <v>2.3684210526315788</v>
      </c>
      <c r="R153" s="5">
        <f>IF(Performance_Data[[#This Row],[Key_Passes]]&gt;0,Performance_Data[[#This Row],[Key_Passes]]*90/Performance_Data[[#This Row],[Minutes_Played]],0)</f>
        <v>4.7368421052631575</v>
      </c>
      <c r="S153" s="5">
        <f>IF(Performance_Data[[#This Row],[Shots]]&gt;0,Performance_Data[[#This Row],[Shots]]*90/Performance_Data[[#This Row],[Minutes_Played]],0)</f>
        <v>11.842105263157896</v>
      </c>
      <c r="T153" s="6">
        <f>IF(Performance_Data[[#This Row],[Successful_Dribbles]]&gt;0,Performance_Data[[#This Row],[Successful_Dribbles]]*90/Performance_Data[[#This Row],[Minutes_Played]],0)</f>
        <v>16.578947368421051</v>
      </c>
      <c r="U153" s="5">
        <f>IF(Performance_Data[[#This Row],[Duels_Won]]&gt;0,Performance_Data[[#This Row],[Duels_Won]]*90/Performance_Data[[#This Row],[Minutes_Played]],0)</f>
        <v>23.684210526315791</v>
      </c>
      <c r="V153" s="5">
        <f t="shared" si="29"/>
        <v>0.92349726775956287</v>
      </c>
      <c r="W153" s="5">
        <f t="shared" si="30"/>
        <v>2.0403508771929824</v>
      </c>
      <c r="X153" s="5">
        <f t="shared" si="31"/>
        <v>4.922778257118205</v>
      </c>
      <c r="Y153" s="5">
        <f t="shared" si="32"/>
        <v>6.3135030198446938</v>
      </c>
      <c r="Z153" s="5">
        <f t="shared" si="33"/>
        <v>9.9597785447224627</v>
      </c>
      <c r="AA153" s="5">
        <f t="shared" si="34"/>
        <v>10.967169974115617</v>
      </c>
    </row>
    <row r="154" spans="1:27" x14ac:dyDescent="0.3">
      <c r="A154" s="3" t="s">
        <v>197</v>
      </c>
      <c r="B154" s="9" t="s">
        <v>33</v>
      </c>
      <c r="C154" s="3" t="s">
        <v>34</v>
      </c>
      <c r="D154">
        <v>19</v>
      </c>
      <c r="E154" s="3" t="s">
        <v>26</v>
      </c>
      <c r="F154" s="8">
        <v>45810</v>
      </c>
      <c r="G154">
        <v>87</v>
      </c>
      <c r="H154">
        <v>0</v>
      </c>
      <c r="I154">
        <v>2</v>
      </c>
      <c r="J154">
        <v>1</v>
      </c>
      <c r="K154">
        <v>4</v>
      </c>
      <c r="L154">
        <v>3</v>
      </c>
      <c r="M154">
        <v>12</v>
      </c>
      <c r="N154">
        <v>89</v>
      </c>
      <c r="O154">
        <v>11</v>
      </c>
      <c r="P154" s="5">
        <f t="shared" si="28"/>
        <v>0</v>
      </c>
      <c r="Q154" s="5">
        <f>IF(Performance_Data[[#This Row],[Minutes_Played]]&gt;0,Performance_Data[[#This Row],[Assists]]*90/Performance_Data[[#This Row],[Minutes_Played]], 0)</f>
        <v>2.0689655172413794</v>
      </c>
      <c r="R154" s="5">
        <f>IF(Performance_Data[[#This Row],[Key_Passes]]&gt;0,Performance_Data[[#This Row],[Key_Passes]]*90/Performance_Data[[#This Row],[Minutes_Played]],0)</f>
        <v>1.0344827586206897</v>
      </c>
      <c r="S154" s="5">
        <f>IF(Performance_Data[[#This Row],[Shots]]&gt;0,Performance_Data[[#This Row],[Shots]]*90/Performance_Data[[#This Row],[Minutes_Played]],0)</f>
        <v>4.1379310344827589</v>
      </c>
      <c r="T154" s="6">
        <f>IF(Performance_Data[[#This Row],[Successful_Dribbles]]&gt;0,Performance_Data[[#This Row],[Successful_Dribbles]]*90/Performance_Data[[#This Row],[Minutes_Played]],0)</f>
        <v>3.103448275862069</v>
      </c>
      <c r="U154" s="5">
        <f>IF(Performance_Data[[#This Row],[Duels_Won]]&gt;0,Performance_Data[[#This Row],[Duels_Won]]*90/Performance_Data[[#This Row],[Minutes_Played]],0)</f>
        <v>12.413793103448276</v>
      </c>
      <c r="V154" s="5">
        <f t="shared" si="29"/>
        <v>0.33333333333333337</v>
      </c>
      <c r="W154" s="5">
        <f t="shared" si="30"/>
        <v>2.4541439806412582</v>
      </c>
      <c r="X154" s="5">
        <f t="shared" si="31"/>
        <v>3.6542649727767698</v>
      </c>
      <c r="Y154" s="5">
        <f t="shared" si="32"/>
        <v>6.8460072595281316</v>
      </c>
      <c r="Z154" s="5">
        <f t="shared" si="33"/>
        <v>8.2198124621899584</v>
      </c>
      <c r="AA154" s="5">
        <f t="shared" si="34"/>
        <v>12.269600725952815</v>
      </c>
    </row>
    <row r="155" spans="1:27" x14ac:dyDescent="0.3">
      <c r="A155" s="3" t="s">
        <v>198</v>
      </c>
      <c r="B155" s="9" t="s">
        <v>33</v>
      </c>
      <c r="C155" s="3" t="s">
        <v>34</v>
      </c>
      <c r="D155">
        <v>19</v>
      </c>
      <c r="E155" s="3" t="s">
        <v>26</v>
      </c>
      <c r="F155" s="8">
        <v>45811</v>
      </c>
      <c r="G155">
        <v>43</v>
      </c>
      <c r="H155">
        <v>1</v>
      </c>
      <c r="I155">
        <v>2</v>
      </c>
      <c r="J155">
        <v>1</v>
      </c>
      <c r="K155">
        <v>2</v>
      </c>
      <c r="L155">
        <v>0</v>
      </c>
      <c r="M155">
        <v>1</v>
      </c>
      <c r="N155">
        <v>83</v>
      </c>
      <c r="O155">
        <v>10.9</v>
      </c>
      <c r="P155" s="5">
        <f t="shared" si="28"/>
        <v>2.0930232558139537</v>
      </c>
      <c r="Q155" s="5">
        <f>IF(Performance_Data[[#This Row],[Minutes_Played]]&gt;0,Performance_Data[[#This Row],[Assists]]*90/Performance_Data[[#This Row],[Minutes_Played]], 0)</f>
        <v>4.1860465116279073</v>
      </c>
      <c r="R155" s="5">
        <f>IF(Performance_Data[[#This Row],[Key_Passes]]&gt;0,Performance_Data[[#This Row],[Key_Passes]]*90/Performance_Data[[#This Row],[Minutes_Played]],0)</f>
        <v>2.0930232558139537</v>
      </c>
      <c r="S155" s="5">
        <f>IF(Performance_Data[[#This Row],[Shots]]&gt;0,Performance_Data[[#This Row],[Shots]]*90/Performance_Data[[#This Row],[Minutes_Played]],0)</f>
        <v>4.1860465116279073</v>
      </c>
      <c r="T155" s="6">
        <f>IF(Performance_Data[[#This Row],[Successful_Dribbles]]&gt;0,Performance_Data[[#This Row],[Successful_Dribbles]]*90/Performance_Data[[#This Row],[Minutes_Played]],0)</f>
        <v>0</v>
      </c>
      <c r="U155" s="5">
        <f>IF(Performance_Data[[#This Row],[Duels_Won]]&gt;0,Performance_Data[[#This Row],[Duels_Won]]*90/Performance_Data[[#This Row],[Minutes_Played]],0)</f>
        <v>2.0930232558139537</v>
      </c>
      <c r="V155" s="5">
        <f t="shared" si="29"/>
        <v>0.75193798449612415</v>
      </c>
      <c r="W155" s="5">
        <f t="shared" si="30"/>
        <v>3.2913532829668397</v>
      </c>
      <c r="X155" s="5">
        <f t="shared" si="31"/>
        <v>3.4728696239395602</v>
      </c>
      <c r="Y155" s="5">
        <f t="shared" si="32"/>
        <v>6.4832165618537116</v>
      </c>
      <c r="Z155" s="5">
        <f t="shared" si="33"/>
        <v>7.4198124621899577</v>
      </c>
      <c r="AA155" s="5">
        <f t="shared" si="34"/>
        <v>11.688205377115604</v>
      </c>
    </row>
    <row r="156" spans="1:27" x14ac:dyDescent="0.3">
      <c r="A156" s="3" t="s">
        <v>199</v>
      </c>
      <c r="B156" s="9" t="s">
        <v>33</v>
      </c>
      <c r="C156" s="3" t="s">
        <v>34</v>
      </c>
      <c r="D156">
        <v>19</v>
      </c>
      <c r="E156" s="3" t="s">
        <v>26</v>
      </c>
      <c r="F156" s="8">
        <v>45812</v>
      </c>
      <c r="G156">
        <v>62</v>
      </c>
      <c r="H156">
        <v>0</v>
      </c>
      <c r="I156">
        <v>0</v>
      </c>
      <c r="J156">
        <v>2</v>
      </c>
      <c r="K156">
        <v>2</v>
      </c>
      <c r="L156">
        <v>2</v>
      </c>
      <c r="M156">
        <v>3</v>
      </c>
      <c r="N156">
        <v>91</v>
      </c>
      <c r="O156">
        <v>10.9</v>
      </c>
      <c r="P156" s="5">
        <f t="shared" si="28"/>
        <v>0</v>
      </c>
      <c r="Q156" s="5">
        <f>IF(Performance_Data[[#This Row],[Minutes_Played]]&gt;0,Performance_Data[[#This Row],[Assists]]*90/Performance_Data[[#This Row],[Minutes_Played]], 0)</f>
        <v>0</v>
      </c>
      <c r="R156" s="5">
        <f>IF(Performance_Data[[#This Row],[Key_Passes]]&gt;0,Performance_Data[[#This Row],[Key_Passes]]*90/Performance_Data[[#This Row],[Minutes_Played]],0)</f>
        <v>2.903225806451613</v>
      </c>
      <c r="S156" s="5">
        <f>IF(Performance_Data[[#This Row],[Shots]]&gt;0,Performance_Data[[#This Row],[Shots]]*90/Performance_Data[[#This Row],[Minutes_Played]],0)</f>
        <v>2.903225806451613</v>
      </c>
      <c r="T156" s="6">
        <f>IF(Performance_Data[[#This Row],[Successful_Dribbles]]&gt;0,Performance_Data[[#This Row],[Successful_Dribbles]]*90/Performance_Data[[#This Row],[Minutes_Played]],0)</f>
        <v>2.903225806451613</v>
      </c>
      <c r="U156" s="5">
        <f>IF(Performance_Data[[#This Row],[Duels_Won]]&gt;0,Performance_Data[[#This Row],[Duels_Won]]*90/Performance_Data[[#This Row],[Minutes_Played]],0)</f>
        <v>4.354838709677419</v>
      </c>
      <c r="V156" s="5">
        <f t="shared" si="29"/>
        <v>0.41860465116279072</v>
      </c>
      <c r="W156" s="5">
        <f t="shared" si="30"/>
        <v>2.6246866163001732</v>
      </c>
      <c r="X156" s="5">
        <f t="shared" si="31"/>
        <v>3.0535147852298827</v>
      </c>
      <c r="Y156" s="5">
        <f t="shared" si="32"/>
        <v>5.0638617231440346</v>
      </c>
      <c r="Z156" s="5">
        <f t="shared" si="33"/>
        <v>7.6671242901469485</v>
      </c>
      <c r="AA156" s="5">
        <f t="shared" si="34"/>
        <v>12.559173119051088</v>
      </c>
    </row>
    <row r="157" spans="1:27" x14ac:dyDescent="0.3">
      <c r="A157" s="3" t="s">
        <v>200</v>
      </c>
      <c r="B157" s="9" t="s">
        <v>33</v>
      </c>
      <c r="C157" s="3" t="s">
        <v>34</v>
      </c>
      <c r="D157">
        <v>19</v>
      </c>
      <c r="E157" s="3" t="s">
        <v>26</v>
      </c>
      <c r="F157" s="8">
        <v>45813</v>
      </c>
      <c r="G157">
        <v>46</v>
      </c>
      <c r="H157">
        <v>1</v>
      </c>
      <c r="I157">
        <v>2</v>
      </c>
      <c r="J157">
        <v>5</v>
      </c>
      <c r="K157">
        <v>4</v>
      </c>
      <c r="L157">
        <v>5</v>
      </c>
      <c r="M157">
        <v>5</v>
      </c>
      <c r="N157">
        <v>82</v>
      </c>
      <c r="O157">
        <v>8.6</v>
      </c>
      <c r="P157" s="5">
        <f t="shared" si="28"/>
        <v>1.9565217391304348</v>
      </c>
      <c r="Q157" s="5">
        <f>IF(Performance_Data[[#This Row],[Minutes_Played]]&gt;0,Performance_Data[[#This Row],[Assists]]*90/Performance_Data[[#This Row],[Minutes_Played]], 0)</f>
        <v>3.9130434782608696</v>
      </c>
      <c r="R157" s="5">
        <f>IF(Performance_Data[[#This Row],[Key_Passes]]&gt;0,Performance_Data[[#This Row],[Key_Passes]]*90/Performance_Data[[#This Row],[Minutes_Played]],0)</f>
        <v>9.7826086956521738</v>
      </c>
      <c r="S157" s="5">
        <f>IF(Performance_Data[[#This Row],[Shots]]&gt;0,Performance_Data[[#This Row],[Shots]]*90/Performance_Data[[#This Row],[Minutes_Played]],0)</f>
        <v>7.8260869565217392</v>
      </c>
      <c r="T157" s="6">
        <f>IF(Performance_Data[[#This Row],[Successful_Dribbles]]&gt;0,Performance_Data[[#This Row],[Successful_Dribbles]]*90/Performance_Data[[#This Row],[Minutes_Played]],0)</f>
        <v>9.7826086956521738</v>
      </c>
      <c r="U157" s="5">
        <f>IF(Performance_Data[[#This Row],[Duels_Won]]&gt;0,Performance_Data[[#This Row],[Duels_Won]]*90/Performance_Data[[#This Row],[Minutes_Played]],0)</f>
        <v>9.7826086956521738</v>
      </c>
      <c r="V157" s="5">
        <f t="shared" si="29"/>
        <v>0.80990899898887769</v>
      </c>
      <c r="W157" s="5">
        <f t="shared" si="30"/>
        <v>2.5072953119523467</v>
      </c>
      <c r="X157" s="5">
        <f t="shared" si="31"/>
        <v>4.1100365243603179</v>
      </c>
      <c r="Y157" s="5">
        <f t="shared" si="32"/>
        <v>6.179079114448383</v>
      </c>
      <c r="Z157" s="5">
        <f t="shared" si="33"/>
        <v>6.473646029277381</v>
      </c>
      <c r="AA157" s="5">
        <f t="shared" si="34"/>
        <v>10.465694858181521</v>
      </c>
    </row>
    <row r="158" spans="1:27" x14ac:dyDescent="0.3">
      <c r="A158" s="3" t="s">
        <v>201</v>
      </c>
      <c r="B158" s="9" t="s">
        <v>33</v>
      </c>
      <c r="C158" s="3" t="s">
        <v>34</v>
      </c>
      <c r="D158">
        <v>19</v>
      </c>
      <c r="E158" s="3" t="s">
        <v>26</v>
      </c>
      <c r="F158" s="8">
        <v>45814</v>
      </c>
      <c r="G158">
        <v>47</v>
      </c>
      <c r="H158">
        <v>0</v>
      </c>
      <c r="I158">
        <v>2</v>
      </c>
      <c r="J158">
        <v>4</v>
      </c>
      <c r="K158">
        <v>1</v>
      </c>
      <c r="L158">
        <v>8</v>
      </c>
      <c r="M158">
        <v>12</v>
      </c>
      <c r="N158">
        <v>68</v>
      </c>
      <c r="O158">
        <v>11.7</v>
      </c>
      <c r="P158" s="5">
        <f t="shared" si="28"/>
        <v>0</v>
      </c>
      <c r="Q158" s="5">
        <f>IF(Performance_Data[[#This Row],[Minutes_Played]]&gt;0,Performance_Data[[#This Row],[Assists]]*90/Performance_Data[[#This Row],[Minutes_Played]], 0)</f>
        <v>3.8297872340425534</v>
      </c>
      <c r="R158" s="5">
        <f>IF(Performance_Data[[#This Row],[Key_Passes]]&gt;0,Performance_Data[[#This Row],[Key_Passes]]*90/Performance_Data[[#This Row],[Minutes_Played]],0)</f>
        <v>7.6595744680851068</v>
      </c>
      <c r="S158" s="5">
        <f>IF(Performance_Data[[#This Row],[Shots]]&gt;0,Performance_Data[[#This Row],[Shots]]*90/Performance_Data[[#This Row],[Minutes_Played]],0)</f>
        <v>1.9148936170212767</v>
      </c>
      <c r="T158" s="6">
        <f>IF(Performance_Data[[#This Row],[Successful_Dribbles]]&gt;0,Performance_Data[[#This Row],[Successful_Dribbles]]*90/Performance_Data[[#This Row],[Minutes_Played]],0)</f>
        <v>15.319148936170214</v>
      </c>
      <c r="U158" s="5">
        <f>IF(Performance_Data[[#This Row],[Duels_Won]]&gt;0,Performance_Data[[#This Row],[Duels_Won]]*90/Performance_Data[[#This Row],[Minutes_Played]],0)</f>
        <v>22.978723404255319</v>
      </c>
      <c r="V158" s="5">
        <f t="shared" si="29"/>
        <v>0.80990899898887769</v>
      </c>
      <c r="W158" s="5">
        <f t="shared" si="30"/>
        <v>2.799568548234542</v>
      </c>
      <c r="X158" s="5">
        <f t="shared" si="31"/>
        <v>4.6945829969247068</v>
      </c>
      <c r="Y158" s="5">
        <f t="shared" si="32"/>
        <v>4.1936367852210585</v>
      </c>
      <c r="Z158" s="5">
        <f t="shared" si="33"/>
        <v>6.2216863428272138</v>
      </c>
      <c r="AA158" s="5">
        <f t="shared" si="34"/>
        <v>10.324597433769428</v>
      </c>
    </row>
    <row r="159" spans="1:27" x14ac:dyDescent="0.3">
      <c r="A159" s="3" t="s">
        <v>202</v>
      </c>
      <c r="B159" s="9" t="s">
        <v>33</v>
      </c>
      <c r="C159" s="3" t="s">
        <v>34</v>
      </c>
      <c r="D159">
        <v>19</v>
      </c>
      <c r="E159" s="3" t="s">
        <v>26</v>
      </c>
      <c r="F159" s="8">
        <v>45815</v>
      </c>
      <c r="G159">
        <v>38</v>
      </c>
      <c r="H159">
        <v>1</v>
      </c>
      <c r="I159">
        <v>1</v>
      </c>
      <c r="J159">
        <v>5</v>
      </c>
      <c r="K159">
        <v>0</v>
      </c>
      <c r="L159">
        <v>6</v>
      </c>
      <c r="M159">
        <v>4</v>
      </c>
      <c r="N159">
        <v>70</v>
      </c>
      <c r="O159">
        <v>9.8000000000000007</v>
      </c>
      <c r="P159" s="5">
        <f t="shared" si="28"/>
        <v>2.3684210526315788</v>
      </c>
      <c r="Q159" s="5">
        <f>IF(Performance_Data[[#This Row],[Minutes_Played]]&gt;0,Performance_Data[[#This Row],[Assists]]*90/Performance_Data[[#This Row],[Minutes_Played]], 0)</f>
        <v>2.3684210526315788</v>
      </c>
      <c r="R159" s="5">
        <f>IF(Performance_Data[[#This Row],[Key_Passes]]&gt;0,Performance_Data[[#This Row],[Key_Passes]]*90/Performance_Data[[#This Row],[Minutes_Played]],0)</f>
        <v>11.842105263157896</v>
      </c>
      <c r="S159" s="5">
        <f>IF(Performance_Data[[#This Row],[Shots]]&gt;0,Performance_Data[[#This Row],[Shots]]*90/Performance_Data[[#This Row],[Minutes_Played]],0)</f>
        <v>0</v>
      </c>
      <c r="T159" s="6">
        <f>IF(Performance_Data[[#This Row],[Successful_Dribbles]]&gt;0,Performance_Data[[#This Row],[Successful_Dribbles]]*90/Performance_Data[[#This Row],[Minutes_Played]],0)</f>
        <v>14.210526315789474</v>
      </c>
      <c r="U159" s="5">
        <f>IF(Performance_Data[[#This Row],[Duels_Won]]&gt;0,Performance_Data[[#This Row],[Duels_Won]]*90/Performance_Data[[#This Row],[Minutes_Played]],0)</f>
        <v>9.473684210526315</v>
      </c>
      <c r="V159" s="5">
        <f t="shared" si="29"/>
        <v>1.2835932095151934</v>
      </c>
      <c r="W159" s="5">
        <f t="shared" si="30"/>
        <v>2.8594596553125817</v>
      </c>
      <c r="X159" s="5">
        <f t="shared" si="31"/>
        <v>6.8561074978321486</v>
      </c>
      <c r="Y159" s="5">
        <f t="shared" si="32"/>
        <v>3.3660505783245069</v>
      </c>
      <c r="Z159" s="5">
        <f t="shared" si="33"/>
        <v>8.4431019508126948</v>
      </c>
      <c r="AA159" s="5">
        <f t="shared" si="34"/>
        <v>9.7365756551850353</v>
      </c>
    </row>
    <row r="160" spans="1:27" x14ac:dyDescent="0.3">
      <c r="A160" s="3" t="s">
        <v>203</v>
      </c>
      <c r="B160" s="9" t="s">
        <v>33</v>
      </c>
      <c r="C160" s="3" t="s">
        <v>34</v>
      </c>
      <c r="D160">
        <v>19</v>
      </c>
      <c r="E160" s="3" t="s">
        <v>26</v>
      </c>
      <c r="F160" s="8">
        <v>45816</v>
      </c>
      <c r="G160">
        <v>63</v>
      </c>
      <c r="H160">
        <v>2</v>
      </c>
      <c r="I160">
        <v>2</v>
      </c>
      <c r="J160">
        <v>3</v>
      </c>
      <c r="K160">
        <v>0</v>
      </c>
      <c r="L160">
        <v>4</v>
      </c>
      <c r="M160">
        <v>0</v>
      </c>
      <c r="N160">
        <v>75</v>
      </c>
      <c r="O160">
        <v>9.8000000000000007</v>
      </c>
      <c r="P160" s="5">
        <f t="shared" si="28"/>
        <v>2.8571428571428572</v>
      </c>
      <c r="Q160" s="5">
        <f>IF(Performance_Data[[#This Row],[Minutes_Played]]&gt;0,Performance_Data[[#This Row],[Assists]]*90/Performance_Data[[#This Row],[Minutes_Played]], 0)</f>
        <v>2.8571428571428572</v>
      </c>
      <c r="R160" s="5">
        <f>IF(Performance_Data[[#This Row],[Key_Passes]]&gt;0,Performance_Data[[#This Row],[Key_Passes]]*90/Performance_Data[[#This Row],[Minutes_Played]],0)</f>
        <v>4.2857142857142856</v>
      </c>
      <c r="S160" s="5">
        <f>IF(Performance_Data[[#This Row],[Shots]]&gt;0,Performance_Data[[#This Row],[Shots]]*90/Performance_Data[[#This Row],[Minutes_Played]],0)</f>
        <v>0</v>
      </c>
      <c r="T160" s="6">
        <f>IF(Performance_Data[[#This Row],[Successful_Dribbles]]&gt;0,Performance_Data[[#This Row],[Successful_Dribbles]]*90/Performance_Data[[#This Row],[Minutes_Played]],0)</f>
        <v>5.7142857142857144</v>
      </c>
      <c r="U160" s="5">
        <f>IF(Performance_Data[[#This Row],[Duels_Won]]&gt;0,Performance_Data[[#This Row],[Duels_Won]]*90/Performance_Data[[#This Row],[Minutes_Played]],0)</f>
        <v>0</v>
      </c>
      <c r="V160" s="5">
        <f t="shared" si="29"/>
        <v>1.436417129780974</v>
      </c>
      <c r="W160" s="5">
        <f t="shared" si="30"/>
        <v>2.5936789244155718</v>
      </c>
      <c r="X160" s="5">
        <f t="shared" si="31"/>
        <v>7.2946457038122148</v>
      </c>
      <c r="Y160" s="5">
        <f t="shared" si="32"/>
        <v>2.5288412759989258</v>
      </c>
      <c r="Z160" s="5">
        <f t="shared" si="33"/>
        <v>9.5859590936698389</v>
      </c>
      <c r="AA160" s="5">
        <f t="shared" si="34"/>
        <v>9.3179710040222457</v>
      </c>
    </row>
    <row r="161" spans="1:27" x14ac:dyDescent="0.3">
      <c r="A161" s="3" t="s">
        <v>204</v>
      </c>
      <c r="B161" s="9" t="s">
        <v>33</v>
      </c>
      <c r="C161" s="3" t="s">
        <v>34</v>
      </c>
      <c r="D161">
        <v>19</v>
      </c>
      <c r="E161" s="3" t="s">
        <v>26</v>
      </c>
      <c r="F161" s="8">
        <v>45817</v>
      </c>
      <c r="G161">
        <v>65</v>
      </c>
      <c r="H161">
        <v>1</v>
      </c>
      <c r="I161">
        <v>0</v>
      </c>
      <c r="J161">
        <v>1</v>
      </c>
      <c r="K161">
        <v>2</v>
      </c>
      <c r="L161">
        <v>0</v>
      </c>
      <c r="M161">
        <v>8</v>
      </c>
      <c r="N161">
        <v>84</v>
      </c>
      <c r="O161">
        <v>8.8000000000000007</v>
      </c>
      <c r="P161" s="5">
        <f t="shared" si="28"/>
        <v>1.3846153846153846</v>
      </c>
      <c r="Q161" s="5">
        <f>IF(Performance_Data[[#This Row],[Minutes_Played]]&gt;0,Performance_Data[[#This Row],[Assists]]*90/Performance_Data[[#This Row],[Minutes_Played]], 0)</f>
        <v>0</v>
      </c>
      <c r="R161" s="5">
        <f>IF(Performance_Data[[#This Row],[Key_Passes]]&gt;0,Performance_Data[[#This Row],[Key_Passes]]*90/Performance_Data[[#This Row],[Minutes_Played]],0)</f>
        <v>1.3846153846153846</v>
      </c>
      <c r="S161" s="5">
        <f>IF(Performance_Data[[#This Row],[Shots]]&gt;0,Performance_Data[[#This Row],[Shots]]*90/Performance_Data[[#This Row],[Minutes_Played]],0)</f>
        <v>2.7692307692307692</v>
      </c>
      <c r="T161" s="6">
        <f>IF(Performance_Data[[#This Row],[Successful_Dribbles]]&gt;0,Performance_Data[[#This Row],[Successful_Dribbles]]*90/Performance_Data[[#This Row],[Minutes_Played]],0)</f>
        <v>0</v>
      </c>
      <c r="U161" s="5">
        <f>IF(Performance_Data[[#This Row],[Duels_Won]]&gt;0,Performance_Data[[#This Row],[Duels_Won]]*90/Performance_Data[[#This Row],[Minutes_Played]],0)</f>
        <v>11.076923076923077</v>
      </c>
      <c r="V161" s="5">
        <f t="shared" si="29"/>
        <v>1.7133402067040511</v>
      </c>
      <c r="W161" s="5">
        <f t="shared" si="30"/>
        <v>2.5936789244155718</v>
      </c>
      <c r="X161" s="5">
        <f t="shared" si="31"/>
        <v>6.9909236194449687</v>
      </c>
      <c r="Y161" s="5">
        <f t="shared" si="32"/>
        <v>2.5020422685547574</v>
      </c>
      <c r="Z161" s="5">
        <f t="shared" si="33"/>
        <v>9.0053139323795151</v>
      </c>
      <c r="AA161" s="5">
        <f t="shared" si="34"/>
        <v>10.662387877471378</v>
      </c>
    </row>
    <row r="162" spans="1:27" x14ac:dyDescent="0.3">
      <c r="A162" s="3" t="s">
        <v>205</v>
      </c>
      <c r="B162" s="9" t="s">
        <v>35</v>
      </c>
      <c r="C162" s="3" t="s">
        <v>36</v>
      </c>
      <c r="D162">
        <v>21</v>
      </c>
      <c r="E162" s="3" t="s">
        <v>17</v>
      </c>
      <c r="F162" s="8">
        <v>45818</v>
      </c>
      <c r="G162">
        <v>35</v>
      </c>
      <c r="H162">
        <v>1</v>
      </c>
      <c r="I162">
        <v>0</v>
      </c>
      <c r="J162">
        <v>0</v>
      </c>
      <c r="K162">
        <v>0</v>
      </c>
      <c r="L162">
        <v>3</v>
      </c>
      <c r="M162">
        <v>11</v>
      </c>
      <c r="N162">
        <v>69</v>
      </c>
      <c r="O162">
        <v>10.1</v>
      </c>
      <c r="P162" s="5">
        <f t="shared" ref="P162:P193" si="35">IF(G162&gt;0, H162*90/G162,0)</f>
        <v>2.5714285714285716</v>
      </c>
      <c r="Q162" s="5">
        <f>IF(Performance_Data[[#This Row],[Minutes_Played]]&gt;0,Performance_Data[[#This Row],[Assists]]*90/Performance_Data[[#This Row],[Minutes_Played]], 0)</f>
        <v>0</v>
      </c>
      <c r="R162" s="5">
        <f>IF(Performance_Data[[#This Row],[Key_Passes]]&gt;0,Performance_Data[[#This Row],[Key_Passes]]*90/Performance_Data[[#This Row],[Minutes_Played]],0)</f>
        <v>0</v>
      </c>
      <c r="S162" s="5">
        <f>IF(Performance_Data[[#This Row],[Shots]]&gt;0,Performance_Data[[#This Row],[Shots]]*90/Performance_Data[[#This Row],[Minutes_Played]],0)</f>
        <v>0</v>
      </c>
      <c r="T162" s="6">
        <f>IF(Performance_Data[[#This Row],[Successful_Dribbles]]&gt;0,Performance_Data[[#This Row],[Successful_Dribbles]]*90/Performance_Data[[#This Row],[Minutes_Played]],0)</f>
        <v>7.7142857142857144</v>
      </c>
      <c r="U162" s="5">
        <f>IF(Performance_Data[[#This Row],[Duels_Won]]&gt;0,Performance_Data[[#This Row],[Duels_Won]]*90/Performance_Data[[#This Row],[Minutes_Played]],0)</f>
        <v>28.285714285714285</v>
      </c>
      <c r="V162" s="5" t="str">
        <f t="shared" si="29"/>
        <v/>
      </c>
      <c r="W162" s="5" t="str">
        <f t="shared" si="30"/>
        <v/>
      </c>
      <c r="X162" s="5" t="str">
        <f t="shared" si="31"/>
        <v/>
      </c>
      <c r="Y162" s="5" t="str">
        <f t="shared" si="32"/>
        <v/>
      </c>
      <c r="Z162" s="5" t="str">
        <f t="shared" si="33"/>
        <v/>
      </c>
      <c r="AA162" s="5" t="str">
        <f t="shared" si="34"/>
        <v/>
      </c>
    </row>
    <row r="163" spans="1:27" x14ac:dyDescent="0.3">
      <c r="A163" s="3" t="s">
        <v>206</v>
      </c>
      <c r="B163" s="9" t="s">
        <v>35</v>
      </c>
      <c r="C163" s="3" t="s">
        <v>36</v>
      </c>
      <c r="D163">
        <v>21</v>
      </c>
      <c r="E163" s="3" t="s">
        <v>17</v>
      </c>
      <c r="F163" s="8">
        <v>45819</v>
      </c>
      <c r="G163">
        <v>72</v>
      </c>
      <c r="H163">
        <v>1</v>
      </c>
      <c r="I163">
        <v>2</v>
      </c>
      <c r="J163">
        <v>4</v>
      </c>
      <c r="K163">
        <v>5</v>
      </c>
      <c r="L163">
        <v>8</v>
      </c>
      <c r="M163">
        <v>11</v>
      </c>
      <c r="N163">
        <v>76</v>
      </c>
      <c r="O163">
        <v>8.6</v>
      </c>
      <c r="P163" s="5">
        <f t="shared" si="35"/>
        <v>1.25</v>
      </c>
      <c r="Q163" s="5">
        <f>IF(Performance_Data[[#This Row],[Minutes_Played]]&gt;0,Performance_Data[[#This Row],[Assists]]*90/Performance_Data[[#This Row],[Minutes_Played]], 0)</f>
        <v>2.5</v>
      </c>
      <c r="R163" s="5">
        <f>IF(Performance_Data[[#This Row],[Key_Passes]]&gt;0,Performance_Data[[#This Row],[Key_Passes]]*90/Performance_Data[[#This Row],[Minutes_Played]],0)</f>
        <v>5</v>
      </c>
      <c r="S163" s="5">
        <f>IF(Performance_Data[[#This Row],[Shots]]&gt;0,Performance_Data[[#This Row],[Shots]]*90/Performance_Data[[#This Row],[Minutes_Played]],0)</f>
        <v>6.25</v>
      </c>
      <c r="T163" s="6">
        <f>IF(Performance_Data[[#This Row],[Successful_Dribbles]]&gt;0,Performance_Data[[#This Row],[Successful_Dribbles]]*90/Performance_Data[[#This Row],[Minutes_Played]],0)</f>
        <v>10</v>
      </c>
      <c r="U163" s="5">
        <f>IF(Performance_Data[[#This Row],[Duels_Won]]&gt;0,Performance_Data[[#This Row],[Duels_Won]]*90/Performance_Data[[#This Row],[Minutes_Played]],0)</f>
        <v>13.75</v>
      </c>
      <c r="V163" s="5" t="str">
        <f t="shared" si="29"/>
        <v/>
      </c>
      <c r="W163" s="5" t="str">
        <f t="shared" si="30"/>
        <v/>
      </c>
      <c r="X163" s="5" t="str">
        <f t="shared" si="31"/>
        <v/>
      </c>
      <c r="Y163" s="5" t="str">
        <f t="shared" si="32"/>
        <v/>
      </c>
      <c r="Z163" s="5" t="str">
        <f t="shared" si="33"/>
        <v/>
      </c>
      <c r="AA163" s="5" t="str">
        <f t="shared" si="34"/>
        <v/>
      </c>
    </row>
    <row r="164" spans="1:27" x14ac:dyDescent="0.3">
      <c r="A164" s="3" t="s">
        <v>207</v>
      </c>
      <c r="B164" s="9" t="s">
        <v>35</v>
      </c>
      <c r="C164" s="3" t="s">
        <v>36</v>
      </c>
      <c r="D164">
        <v>21</v>
      </c>
      <c r="E164" s="3" t="s">
        <v>17</v>
      </c>
      <c r="F164" s="8">
        <v>45820</v>
      </c>
      <c r="G164">
        <v>48</v>
      </c>
      <c r="H164">
        <v>0</v>
      </c>
      <c r="I164">
        <v>0</v>
      </c>
      <c r="J164">
        <v>5</v>
      </c>
      <c r="K164">
        <v>1</v>
      </c>
      <c r="L164">
        <v>0</v>
      </c>
      <c r="M164">
        <v>0</v>
      </c>
      <c r="N164">
        <v>82</v>
      </c>
      <c r="O164">
        <v>8.8000000000000007</v>
      </c>
      <c r="P164" s="5">
        <f t="shared" si="35"/>
        <v>0</v>
      </c>
      <c r="Q164" s="5">
        <f>IF(Performance_Data[[#This Row],[Minutes_Played]]&gt;0,Performance_Data[[#This Row],[Assists]]*90/Performance_Data[[#This Row],[Minutes_Played]], 0)</f>
        <v>0</v>
      </c>
      <c r="R164" s="5">
        <f>IF(Performance_Data[[#This Row],[Key_Passes]]&gt;0,Performance_Data[[#This Row],[Key_Passes]]*90/Performance_Data[[#This Row],[Minutes_Played]],0)</f>
        <v>9.375</v>
      </c>
      <c r="S164" s="5">
        <f>IF(Performance_Data[[#This Row],[Shots]]&gt;0,Performance_Data[[#This Row],[Shots]]*90/Performance_Data[[#This Row],[Minutes_Played]],0)</f>
        <v>1.875</v>
      </c>
      <c r="T164" s="6">
        <f>IF(Performance_Data[[#This Row],[Successful_Dribbles]]&gt;0,Performance_Data[[#This Row],[Successful_Dribbles]]*90/Performance_Data[[#This Row],[Minutes_Played]],0)</f>
        <v>0</v>
      </c>
      <c r="U164" s="5">
        <f>IF(Performance_Data[[#This Row],[Duels_Won]]&gt;0,Performance_Data[[#This Row],[Duels_Won]]*90/Performance_Data[[#This Row],[Minutes_Played]],0)</f>
        <v>0</v>
      </c>
      <c r="V164" s="5" t="str">
        <f t="shared" si="29"/>
        <v/>
      </c>
      <c r="W164" s="5" t="str">
        <f t="shared" si="30"/>
        <v/>
      </c>
      <c r="X164" s="5" t="str">
        <f t="shared" si="31"/>
        <v/>
      </c>
      <c r="Y164" s="5" t="str">
        <f t="shared" si="32"/>
        <v/>
      </c>
      <c r="Z164" s="5" t="str">
        <f t="shared" si="33"/>
        <v/>
      </c>
      <c r="AA164" s="5" t="str">
        <f t="shared" si="34"/>
        <v/>
      </c>
    </row>
    <row r="165" spans="1:27" x14ac:dyDescent="0.3">
      <c r="A165" s="3" t="s">
        <v>208</v>
      </c>
      <c r="B165" s="9" t="s">
        <v>35</v>
      </c>
      <c r="C165" s="3" t="s">
        <v>36</v>
      </c>
      <c r="D165">
        <v>21</v>
      </c>
      <c r="E165" s="3" t="s">
        <v>17</v>
      </c>
      <c r="F165" s="8">
        <v>45821</v>
      </c>
      <c r="G165">
        <v>83</v>
      </c>
      <c r="H165">
        <v>2</v>
      </c>
      <c r="I165">
        <v>1</v>
      </c>
      <c r="J165">
        <v>4</v>
      </c>
      <c r="K165">
        <v>2</v>
      </c>
      <c r="L165">
        <v>6</v>
      </c>
      <c r="M165">
        <v>12</v>
      </c>
      <c r="N165">
        <v>81</v>
      </c>
      <c r="O165">
        <v>11.9</v>
      </c>
      <c r="P165" s="5">
        <f t="shared" si="35"/>
        <v>2.1686746987951806</v>
      </c>
      <c r="Q165" s="5">
        <f>IF(Performance_Data[[#This Row],[Minutes_Played]]&gt;0,Performance_Data[[#This Row],[Assists]]*90/Performance_Data[[#This Row],[Minutes_Played]], 0)</f>
        <v>1.0843373493975903</v>
      </c>
      <c r="R165" s="5">
        <f>IF(Performance_Data[[#This Row],[Key_Passes]]&gt;0,Performance_Data[[#This Row],[Key_Passes]]*90/Performance_Data[[#This Row],[Minutes_Played]],0)</f>
        <v>4.3373493975903612</v>
      </c>
      <c r="S165" s="5">
        <f>IF(Performance_Data[[#This Row],[Shots]]&gt;0,Performance_Data[[#This Row],[Shots]]*90/Performance_Data[[#This Row],[Minutes_Played]],0)</f>
        <v>2.1686746987951806</v>
      </c>
      <c r="T165" s="6">
        <f>IF(Performance_Data[[#This Row],[Successful_Dribbles]]&gt;0,Performance_Data[[#This Row],[Successful_Dribbles]]*90/Performance_Data[[#This Row],[Minutes_Played]],0)</f>
        <v>6.5060240963855422</v>
      </c>
      <c r="U165" s="5">
        <f>IF(Performance_Data[[#This Row],[Duels_Won]]&gt;0,Performance_Data[[#This Row],[Duels_Won]]*90/Performance_Data[[#This Row],[Minutes_Played]],0)</f>
        <v>13.012048192771084</v>
      </c>
      <c r="V165" s="5" t="str">
        <f t="shared" si="29"/>
        <v/>
      </c>
      <c r="W165" s="5" t="str">
        <f t="shared" si="30"/>
        <v/>
      </c>
      <c r="X165" s="5" t="str">
        <f t="shared" si="31"/>
        <v/>
      </c>
      <c r="Y165" s="5" t="str">
        <f t="shared" si="32"/>
        <v/>
      </c>
      <c r="Z165" s="5" t="str">
        <f t="shared" si="33"/>
        <v/>
      </c>
      <c r="AA165" s="5" t="str">
        <f t="shared" si="34"/>
        <v/>
      </c>
    </row>
    <row r="166" spans="1:27" x14ac:dyDescent="0.3">
      <c r="A166" s="3" t="s">
        <v>209</v>
      </c>
      <c r="B166" s="9" t="s">
        <v>35</v>
      </c>
      <c r="C166" s="3" t="s">
        <v>36</v>
      </c>
      <c r="D166">
        <v>21</v>
      </c>
      <c r="E166" s="3" t="s">
        <v>17</v>
      </c>
      <c r="F166" s="8">
        <v>45822</v>
      </c>
      <c r="G166">
        <v>42</v>
      </c>
      <c r="H166">
        <v>2</v>
      </c>
      <c r="I166">
        <v>2</v>
      </c>
      <c r="J166">
        <v>4</v>
      </c>
      <c r="K166">
        <v>4</v>
      </c>
      <c r="L166">
        <v>5</v>
      </c>
      <c r="M166">
        <v>0</v>
      </c>
      <c r="N166">
        <v>65</v>
      </c>
      <c r="O166">
        <v>10.199999999999999</v>
      </c>
      <c r="P166" s="5">
        <f t="shared" si="35"/>
        <v>4.2857142857142856</v>
      </c>
      <c r="Q166" s="5">
        <f>IF(Performance_Data[[#This Row],[Minutes_Played]]&gt;0,Performance_Data[[#This Row],[Assists]]*90/Performance_Data[[#This Row],[Minutes_Played]], 0)</f>
        <v>4.2857142857142856</v>
      </c>
      <c r="R166" s="5">
        <f>IF(Performance_Data[[#This Row],[Key_Passes]]&gt;0,Performance_Data[[#This Row],[Key_Passes]]*90/Performance_Data[[#This Row],[Minutes_Played]],0)</f>
        <v>8.5714285714285712</v>
      </c>
      <c r="S166" s="5">
        <f>IF(Performance_Data[[#This Row],[Shots]]&gt;0,Performance_Data[[#This Row],[Shots]]*90/Performance_Data[[#This Row],[Minutes_Played]],0)</f>
        <v>8.5714285714285712</v>
      </c>
      <c r="T166" s="6">
        <f>IF(Performance_Data[[#This Row],[Successful_Dribbles]]&gt;0,Performance_Data[[#This Row],[Successful_Dribbles]]*90/Performance_Data[[#This Row],[Minutes_Played]],0)</f>
        <v>10.714285714285714</v>
      </c>
      <c r="U166" s="5">
        <f>IF(Performance_Data[[#This Row],[Duels_Won]]&gt;0,Performance_Data[[#This Row],[Duels_Won]]*90/Performance_Data[[#This Row],[Minutes_Played]],0)</f>
        <v>0</v>
      </c>
      <c r="V166" s="5">
        <f t="shared" ref="V166:V197" si="36">IF(COUNTIF(B162:B166,B166)=5, AVERAGE(P162:P166), "")</f>
        <v>2.0551635111876072</v>
      </c>
      <c r="W166" s="5">
        <f t="shared" ref="W166:W197" si="37">IF(COUNTIF(B162:B166,B166)=5, AVERAGE(Q162:Q166), "")</f>
        <v>1.5740103270223753</v>
      </c>
      <c r="X166" s="5">
        <f t="shared" ref="X166:X197" si="38">IF(COUNTIF(B162:B166,B166)=5, AVERAGE(R162:R166), "")</f>
        <v>5.4567555938037868</v>
      </c>
      <c r="Y166" s="5">
        <f t="shared" ref="Y166:Y197" si="39">IF(COUNTIF(B162:B166,B166)=5, AVERAGE(S162:S166), "")</f>
        <v>3.7730206540447506</v>
      </c>
      <c r="Z166" s="5">
        <f t="shared" ref="Z166:Z197" si="40">IF(COUNTIF(B162:B166,B166)=5,AVERAGE(T162:T166),"")</f>
        <v>6.9869191049913937</v>
      </c>
      <c r="AA166" s="5">
        <f t="shared" ref="AA166:AA197" si="41">IF(COUNTIF(B162:B166,B166)=5,AVERAGE(U162:U166),"")</f>
        <v>11.009552495697074</v>
      </c>
    </row>
    <row r="167" spans="1:27" x14ac:dyDescent="0.3">
      <c r="A167" s="3" t="s">
        <v>210</v>
      </c>
      <c r="B167" s="9" t="s">
        <v>35</v>
      </c>
      <c r="C167" s="3" t="s">
        <v>36</v>
      </c>
      <c r="D167">
        <v>21</v>
      </c>
      <c r="E167" s="3" t="s">
        <v>17</v>
      </c>
      <c r="F167" s="8">
        <v>45823</v>
      </c>
      <c r="G167">
        <v>59</v>
      </c>
      <c r="H167">
        <v>2</v>
      </c>
      <c r="I167">
        <v>0</v>
      </c>
      <c r="J167">
        <v>5</v>
      </c>
      <c r="K167">
        <v>2</v>
      </c>
      <c r="L167">
        <v>5</v>
      </c>
      <c r="M167">
        <v>10</v>
      </c>
      <c r="N167">
        <v>77</v>
      </c>
      <c r="O167">
        <v>9.9</v>
      </c>
      <c r="P167" s="5">
        <f t="shared" si="35"/>
        <v>3.0508474576271185</v>
      </c>
      <c r="Q167" s="5">
        <f>IF(Performance_Data[[#This Row],[Minutes_Played]]&gt;0,Performance_Data[[#This Row],[Assists]]*90/Performance_Data[[#This Row],[Minutes_Played]], 0)</f>
        <v>0</v>
      </c>
      <c r="R167" s="5">
        <f>IF(Performance_Data[[#This Row],[Key_Passes]]&gt;0,Performance_Data[[#This Row],[Key_Passes]]*90/Performance_Data[[#This Row],[Minutes_Played]],0)</f>
        <v>7.6271186440677967</v>
      </c>
      <c r="S167" s="5">
        <f>IF(Performance_Data[[#This Row],[Shots]]&gt;0,Performance_Data[[#This Row],[Shots]]*90/Performance_Data[[#This Row],[Minutes_Played]],0)</f>
        <v>3.0508474576271185</v>
      </c>
      <c r="T167" s="6">
        <f>IF(Performance_Data[[#This Row],[Successful_Dribbles]]&gt;0,Performance_Data[[#This Row],[Successful_Dribbles]]*90/Performance_Data[[#This Row],[Minutes_Played]],0)</f>
        <v>7.6271186440677967</v>
      </c>
      <c r="U167" s="5">
        <f>IF(Performance_Data[[#This Row],[Duels_Won]]&gt;0,Performance_Data[[#This Row],[Duels_Won]]*90/Performance_Data[[#This Row],[Minutes_Played]],0)</f>
        <v>15.254237288135593</v>
      </c>
      <c r="V167" s="5">
        <f t="shared" si="36"/>
        <v>2.1510472884273169</v>
      </c>
      <c r="W167" s="5">
        <f t="shared" si="37"/>
        <v>1.5740103270223753</v>
      </c>
      <c r="X167" s="5">
        <f t="shared" si="38"/>
        <v>6.9821793226173465</v>
      </c>
      <c r="Y167" s="5">
        <f t="shared" si="39"/>
        <v>4.3831901455701736</v>
      </c>
      <c r="Z167" s="5">
        <f t="shared" si="40"/>
        <v>6.9694856909478107</v>
      </c>
      <c r="AA167" s="5">
        <f t="shared" si="41"/>
        <v>8.4032570961813349</v>
      </c>
    </row>
    <row r="168" spans="1:27" x14ac:dyDescent="0.3">
      <c r="A168" s="3" t="s">
        <v>211</v>
      </c>
      <c r="B168" s="9" t="s">
        <v>35</v>
      </c>
      <c r="C168" s="3" t="s">
        <v>36</v>
      </c>
      <c r="D168">
        <v>21</v>
      </c>
      <c r="E168" s="3" t="s">
        <v>17</v>
      </c>
      <c r="F168" s="8">
        <v>45824</v>
      </c>
      <c r="G168">
        <v>84</v>
      </c>
      <c r="H168">
        <v>2</v>
      </c>
      <c r="I168">
        <v>2</v>
      </c>
      <c r="J168">
        <v>6</v>
      </c>
      <c r="K168">
        <v>6</v>
      </c>
      <c r="L168">
        <v>3</v>
      </c>
      <c r="M168">
        <v>5</v>
      </c>
      <c r="N168">
        <v>88</v>
      </c>
      <c r="O168">
        <v>9.1</v>
      </c>
      <c r="P168" s="5">
        <f t="shared" si="35"/>
        <v>2.1428571428571428</v>
      </c>
      <c r="Q168" s="5">
        <f>IF(Performance_Data[[#This Row],[Minutes_Played]]&gt;0,Performance_Data[[#This Row],[Assists]]*90/Performance_Data[[#This Row],[Minutes_Played]], 0)</f>
        <v>2.1428571428571428</v>
      </c>
      <c r="R168" s="5">
        <f>IF(Performance_Data[[#This Row],[Key_Passes]]&gt;0,Performance_Data[[#This Row],[Key_Passes]]*90/Performance_Data[[#This Row],[Minutes_Played]],0)</f>
        <v>6.4285714285714288</v>
      </c>
      <c r="S168" s="5">
        <f>IF(Performance_Data[[#This Row],[Shots]]&gt;0,Performance_Data[[#This Row],[Shots]]*90/Performance_Data[[#This Row],[Minutes_Played]],0)</f>
        <v>6.4285714285714288</v>
      </c>
      <c r="T168" s="6">
        <f>IF(Performance_Data[[#This Row],[Successful_Dribbles]]&gt;0,Performance_Data[[#This Row],[Successful_Dribbles]]*90/Performance_Data[[#This Row],[Minutes_Played]],0)</f>
        <v>3.2142857142857144</v>
      </c>
      <c r="U168" s="5">
        <f>IF(Performance_Data[[#This Row],[Duels_Won]]&gt;0,Performance_Data[[#This Row],[Duels_Won]]*90/Performance_Data[[#This Row],[Minutes_Played]],0)</f>
        <v>5.3571428571428568</v>
      </c>
      <c r="V168" s="5">
        <f t="shared" si="36"/>
        <v>2.3296187169987457</v>
      </c>
      <c r="W168" s="5">
        <f t="shared" si="37"/>
        <v>1.5025817555938037</v>
      </c>
      <c r="X168" s="5">
        <f t="shared" si="38"/>
        <v>7.2678936083316312</v>
      </c>
      <c r="Y168" s="5">
        <f t="shared" si="39"/>
        <v>4.4189044312844601</v>
      </c>
      <c r="Z168" s="5">
        <f t="shared" si="40"/>
        <v>5.6123428338049539</v>
      </c>
      <c r="AA168" s="5">
        <f t="shared" si="41"/>
        <v>6.7246856676099069</v>
      </c>
    </row>
    <row r="169" spans="1:27" x14ac:dyDescent="0.3">
      <c r="A169" s="3" t="s">
        <v>212</v>
      </c>
      <c r="B169" s="9" t="s">
        <v>35</v>
      </c>
      <c r="C169" s="3" t="s">
        <v>36</v>
      </c>
      <c r="D169">
        <v>21</v>
      </c>
      <c r="E169" s="3" t="s">
        <v>17</v>
      </c>
      <c r="F169" s="8">
        <v>45825</v>
      </c>
      <c r="G169">
        <v>71</v>
      </c>
      <c r="H169">
        <v>0</v>
      </c>
      <c r="I169">
        <v>1</v>
      </c>
      <c r="J169">
        <v>5</v>
      </c>
      <c r="K169">
        <v>2</v>
      </c>
      <c r="L169">
        <v>1</v>
      </c>
      <c r="M169">
        <v>10</v>
      </c>
      <c r="N169">
        <v>92</v>
      </c>
      <c r="O169">
        <v>10.4</v>
      </c>
      <c r="P169" s="5">
        <f t="shared" si="35"/>
        <v>0</v>
      </c>
      <c r="Q169" s="5">
        <f>IF(Performance_Data[[#This Row],[Minutes_Played]]&gt;0,Performance_Data[[#This Row],[Assists]]*90/Performance_Data[[#This Row],[Minutes_Played]], 0)</f>
        <v>1.267605633802817</v>
      </c>
      <c r="R169" s="5">
        <f>IF(Performance_Data[[#This Row],[Key_Passes]]&gt;0,Performance_Data[[#This Row],[Key_Passes]]*90/Performance_Data[[#This Row],[Minutes_Played]],0)</f>
        <v>6.3380281690140849</v>
      </c>
      <c r="S169" s="5">
        <f>IF(Performance_Data[[#This Row],[Shots]]&gt;0,Performance_Data[[#This Row],[Shots]]*90/Performance_Data[[#This Row],[Minutes_Played]],0)</f>
        <v>2.535211267605634</v>
      </c>
      <c r="T169" s="6">
        <f>IF(Performance_Data[[#This Row],[Successful_Dribbles]]&gt;0,Performance_Data[[#This Row],[Successful_Dribbles]]*90/Performance_Data[[#This Row],[Minutes_Played]],0)</f>
        <v>1.267605633802817</v>
      </c>
      <c r="U169" s="5">
        <f>IF(Performance_Data[[#This Row],[Duels_Won]]&gt;0,Performance_Data[[#This Row],[Duels_Won]]*90/Performance_Data[[#This Row],[Minutes_Played]],0)</f>
        <v>12.67605633802817</v>
      </c>
      <c r="V169" s="5">
        <f t="shared" si="36"/>
        <v>2.3296187169987457</v>
      </c>
      <c r="W169" s="5">
        <f t="shared" si="37"/>
        <v>1.7561028823543672</v>
      </c>
      <c r="X169" s="5">
        <f t="shared" si="38"/>
        <v>6.6604992421344491</v>
      </c>
      <c r="Y169" s="5">
        <f t="shared" si="39"/>
        <v>4.5509466848055862</v>
      </c>
      <c r="Z169" s="5">
        <f t="shared" si="40"/>
        <v>5.865863960565517</v>
      </c>
      <c r="AA169" s="5">
        <f t="shared" si="41"/>
        <v>9.25989693521554</v>
      </c>
    </row>
    <row r="170" spans="1:27" x14ac:dyDescent="0.3">
      <c r="A170" s="3" t="s">
        <v>213</v>
      </c>
      <c r="B170" s="9" t="s">
        <v>35</v>
      </c>
      <c r="C170" s="3" t="s">
        <v>36</v>
      </c>
      <c r="D170">
        <v>21</v>
      </c>
      <c r="E170" s="3" t="s">
        <v>17</v>
      </c>
      <c r="F170" s="8">
        <v>45826</v>
      </c>
      <c r="G170">
        <v>84</v>
      </c>
      <c r="H170">
        <v>2</v>
      </c>
      <c r="I170">
        <v>1</v>
      </c>
      <c r="J170">
        <v>3</v>
      </c>
      <c r="K170">
        <v>3</v>
      </c>
      <c r="L170">
        <v>8</v>
      </c>
      <c r="M170">
        <v>3</v>
      </c>
      <c r="N170">
        <v>81</v>
      </c>
      <c r="O170">
        <v>11.9</v>
      </c>
      <c r="P170" s="5">
        <f t="shared" si="35"/>
        <v>2.1428571428571428</v>
      </c>
      <c r="Q170" s="5">
        <f>IF(Performance_Data[[#This Row],[Minutes_Played]]&gt;0,Performance_Data[[#This Row],[Assists]]*90/Performance_Data[[#This Row],[Minutes_Played]], 0)</f>
        <v>1.0714285714285714</v>
      </c>
      <c r="R170" s="5">
        <f>IF(Performance_Data[[#This Row],[Key_Passes]]&gt;0,Performance_Data[[#This Row],[Key_Passes]]*90/Performance_Data[[#This Row],[Minutes_Played]],0)</f>
        <v>3.2142857142857144</v>
      </c>
      <c r="S170" s="5">
        <f>IF(Performance_Data[[#This Row],[Shots]]&gt;0,Performance_Data[[#This Row],[Shots]]*90/Performance_Data[[#This Row],[Minutes_Played]],0)</f>
        <v>3.2142857142857144</v>
      </c>
      <c r="T170" s="6">
        <f>IF(Performance_Data[[#This Row],[Successful_Dribbles]]&gt;0,Performance_Data[[#This Row],[Successful_Dribbles]]*90/Performance_Data[[#This Row],[Minutes_Played]],0)</f>
        <v>8.5714285714285712</v>
      </c>
      <c r="U170" s="5">
        <f>IF(Performance_Data[[#This Row],[Duels_Won]]&gt;0,Performance_Data[[#This Row],[Duels_Won]]*90/Performance_Data[[#This Row],[Minutes_Played]],0)</f>
        <v>3.2142857142857144</v>
      </c>
      <c r="V170" s="5">
        <f t="shared" si="36"/>
        <v>2.3244552058111378</v>
      </c>
      <c r="W170" s="5">
        <f t="shared" si="37"/>
        <v>1.7535211267605635</v>
      </c>
      <c r="X170" s="5">
        <f t="shared" si="38"/>
        <v>6.435886505473519</v>
      </c>
      <c r="Y170" s="5">
        <f t="shared" si="39"/>
        <v>4.7600688879036941</v>
      </c>
      <c r="Z170" s="5">
        <f t="shared" si="40"/>
        <v>6.2789448555741227</v>
      </c>
      <c r="AA170" s="5">
        <f t="shared" si="41"/>
        <v>7.3003444395184669</v>
      </c>
    </row>
    <row r="171" spans="1:27" x14ac:dyDescent="0.3">
      <c r="A171" s="3" t="s">
        <v>214</v>
      </c>
      <c r="B171" s="9" t="s">
        <v>35</v>
      </c>
      <c r="C171" s="3" t="s">
        <v>36</v>
      </c>
      <c r="D171">
        <v>21</v>
      </c>
      <c r="E171" s="3" t="s">
        <v>17</v>
      </c>
      <c r="F171" s="8">
        <v>45827</v>
      </c>
      <c r="G171">
        <v>80</v>
      </c>
      <c r="H171">
        <v>2</v>
      </c>
      <c r="I171">
        <v>1</v>
      </c>
      <c r="J171">
        <v>6</v>
      </c>
      <c r="K171">
        <v>6</v>
      </c>
      <c r="L171">
        <v>5</v>
      </c>
      <c r="M171">
        <v>5</v>
      </c>
      <c r="N171">
        <v>70</v>
      </c>
      <c r="O171">
        <v>8.8000000000000007</v>
      </c>
      <c r="P171" s="5">
        <f t="shared" si="35"/>
        <v>2.25</v>
      </c>
      <c r="Q171" s="5">
        <f>IF(Performance_Data[[#This Row],[Minutes_Played]]&gt;0,Performance_Data[[#This Row],[Assists]]*90/Performance_Data[[#This Row],[Minutes_Played]], 0)</f>
        <v>1.125</v>
      </c>
      <c r="R171" s="5">
        <f>IF(Performance_Data[[#This Row],[Key_Passes]]&gt;0,Performance_Data[[#This Row],[Key_Passes]]*90/Performance_Data[[#This Row],[Minutes_Played]],0)</f>
        <v>6.75</v>
      </c>
      <c r="S171" s="5">
        <f>IF(Performance_Data[[#This Row],[Shots]]&gt;0,Performance_Data[[#This Row],[Shots]]*90/Performance_Data[[#This Row],[Minutes_Played]],0)</f>
        <v>6.75</v>
      </c>
      <c r="T171" s="6">
        <f>IF(Performance_Data[[#This Row],[Successful_Dribbles]]&gt;0,Performance_Data[[#This Row],[Successful_Dribbles]]*90/Performance_Data[[#This Row],[Minutes_Played]],0)</f>
        <v>5.625</v>
      </c>
      <c r="U171" s="5">
        <f>IF(Performance_Data[[#This Row],[Duels_Won]]&gt;0,Performance_Data[[#This Row],[Duels_Won]]*90/Performance_Data[[#This Row],[Minutes_Played]],0)</f>
        <v>5.625</v>
      </c>
      <c r="V171" s="5">
        <f t="shared" si="36"/>
        <v>1.9173123486682808</v>
      </c>
      <c r="W171" s="5">
        <f t="shared" si="37"/>
        <v>1.1213782696177064</v>
      </c>
      <c r="X171" s="5">
        <f t="shared" si="38"/>
        <v>6.0716007911878052</v>
      </c>
      <c r="Y171" s="5">
        <f t="shared" si="39"/>
        <v>4.3957831736179793</v>
      </c>
      <c r="Z171" s="5">
        <f t="shared" si="40"/>
        <v>5.2610877127169804</v>
      </c>
      <c r="AA171" s="5">
        <f t="shared" si="41"/>
        <v>8.4253444395184669</v>
      </c>
    </row>
    <row r="172" spans="1:27" x14ac:dyDescent="0.3">
      <c r="A172" s="3" t="s">
        <v>215</v>
      </c>
      <c r="B172" s="9" t="s">
        <v>35</v>
      </c>
      <c r="C172" s="3" t="s">
        <v>36</v>
      </c>
      <c r="D172">
        <v>21</v>
      </c>
      <c r="E172" s="3" t="s">
        <v>17</v>
      </c>
      <c r="F172" s="8">
        <v>45828</v>
      </c>
      <c r="G172">
        <v>79</v>
      </c>
      <c r="H172">
        <v>0</v>
      </c>
      <c r="I172">
        <v>0</v>
      </c>
      <c r="J172">
        <v>0</v>
      </c>
      <c r="K172">
        <v>3</v>
      </c>
      <c r="L172">
        <v>0</v>
      </c>
      <c r="M172">
        <v>5</v>
      </c>
      <c r="N172">
        <v>75</v>
      </c>
      <c r="O172">
        <v>9.8000000000000007</v>
      </c>
      <c r="P172" s="5">
        <f t="shared" si="35"/>
        <v>0</v>
      </c>
      <c r="Q172" s="5">
        <f>IF(Performance_Data[[#This Row],[Minutes_Played]]&gt;0,Performance_Data[[#This Row],[Assists]]*90/Performance_Data[[#This Row],[Minutes_Played]], 0)</f>
        <v>0</v>
      </c>
      <c r="R172" s="5">
        <f>IF(Performance_Data[[#This Row],[Key_Passes]]&gt;0,Performance_Data[[#This Row],[Key_Passes]]*90/Performance_Data[[#This Row],[Minutes_Played]],0)</f>
        <v>0</v>
      </c>
      <c r="S172" s="5">
        <f>IF(Performance_Data[[#This Row],[Shots]]&gt;0,Performance_Data[[#This Row],[Shots]]*90/Performance_Data[[#This Row],[Minutes_Played]],0)</f>
        <v>3.4177215189873418</v>
      </c>
      <c r="T172" s="6">
        <f>IF(Performance_Data[[#This Row],[Successful_Dribbles]]&gt;0,Performance_Data[[#This Row],[Successful_Dribbles]]*90/Performance_Data[[#This Row],[Minutes_Played]],0)</f>
        <v>0</v>
      </c>
      <c r="U172" s="5">
        <f>IF(Performance_Data[[#This Row],[Duels_Won]]&gt;0,Performance_Data[[#This Row],[Duels_Won]]*90/Performance_Data[[#This Row],[Minutes_Played]],0)</f>
        <v>5.6962025316455698</v>
      </c>
      <c r="V172" s="5">
        <f t="shared" si="36"/>
        <v>1.3071428571428572</v>
      </c>
      <c r="W172" s="5">
        <f t="shared" si="37"/>
        <v>1.1213782696177064</v>
      </c>
      <c r="X172" s="5">
        <f t="shared" si="38"/>
        <v>4.5461770623742463</v>
      </c>
      <c r="Y172" s="5">
        <f t="shared" si="39"/>
        <v>4.4691579858900239</v>
      </c>
      <c r="Z172" s="5">
        <f t="shared" si="40"/>
        <v>3.7356639839034202</v>
      </c>
      <c r="AA172" s="5">
        <f t="shared" si="41"/>
        <v>6.5137374882204622</v>
      </c>
    </row>
    <row r="173" spans="1:27" x14ac:dyDescent="0.3">
      <c r="A173" s="3" t="s">
        <v>216</v>
      </c>
      <c r="B173" s="9" t="s">
        <v>35</v>
      </c>
      <c r="C173" s="3" t="s">
        <v>36</v>
      </c>
      <c r="D173">
        <v>21</v>
      </c>
      <c r="E173" s="3" t="s">
        <v>17</v>
      </c>
      <c r="F173" s="8">
        <v>45829</v>
      </c>
      <c r="G173">
        <v>69</v>
      </c>
      <c r="H173">
        <v>1</v>
      </c>
      <c r="I173">
        <v>1</v>
      </c>
      <c r="J173">
        <v>6</v>
      </c>
      <c r="K173">
        <v>6</v>
      </c>
      <c r="L173">
        <v>6</v>
      </c>
      <c r="M173">
        <v>10</v>
      </c>
      <c r="N173">
        <v>92</v>
      </c>
      <c r="O173">
        <v>8.1999999999999993</v>
      </c>
      <c r="P173" s="5">
        <f t="shared" si="35"/>
        <v>1.3043478260869565</v>
      </c>
      <c r="Q173" s="5">
        <f>IF(Performance_Data[[#This Row],[Minutes_Played]]&gt;0,Performance_Data[[#This Row],[Assists]]*90/Performance_Data[[#This Row],[Minutes_Played]], 0)</f>
        <v>1.3043478260869565</v>
      </c>
      <c r="R173" s="5">
        <f>IF(Performance_Data[[#This Row],[Key_Passes]]&gt;0,Performance_Data[[#This Row],[Key_Passes]]*90/Performance_Data[[#This Row],[Minutes_Played]],0)</f>
        <v>7.8260869565217392</v>
      </c>
      <c r="S173" s="5">
        <f>IF(Performance_Data[[#This Row],[Shots]]&gt;0,Performance_Data[[#This Row],[Shots]]*90/Performance_Data[[#This Row],[Minutes_Played]],0)</f>
        <v>7.8260869565217392</v>
      </c>
      <c r="T173" s="6">
        <f>IF(Performance_Data[[#This Row],[Successful_Dribbles]]&gt;0,Performance_Data[[#This Row],[Successful_Dribbles]]*90/Performance_Data[[#This Row],[Minutes_Played]],0)</f>
        <v>7.8260869565217392</v>
      </c>
      <c r="U173" s="5">
        <f>IF(Performance_Data[[#This Row],[Duels_Won]]&gt;0,Performance_Data[[#This Row],[Duels_Won]]*90/Performance_Data[[#This Row],[Minutes_Played]],0)</f>
        <v>13.043478260869565</v>
      </c>
      <c r="V173" s="5">
        <f t="shared" si="36"/>
        <v>1.1394409937888199</v>
      </c>
      <c r="W173" s="5">
        <f t="shared" si="37"/>
        <v>0.9536764062636689</v>
      </c>
      <c r="X173" s="5">
        <f t="shared" si="38"/>
        <v>4.8256801679643075</v>
      </c>
      <c r="Y173" s="5">
        <f t="shared" si="39"/>
        <v>4.748661091480086</v>
      </c>
      <c r="Z173" s="5">
        <f t="shared" si="40"/>
        <v>4.6580242323506251</v>
      </c>
      <c r="AA173" s="5">
        <f t="shared" si="41"/>
        <v>8.0510045689658032</v>
      </c>
    </row>
    <row r="174" spans="1:27" x14ac:dyDescent="0.3">
      <c r="A174" s="3" t="s">
        <v>217</v>
      </c>
      <c r="B174" s="9" t="s">
        <v>35</v>
      </c>
      <c r="C174" s="3" t="s">
        <v>36</v>
      </c>
      <c r="D174">
        <v>21</v>
      </c>
      <c r="E174" s="3" t="s">
        <v>17</v>
      </c>
      <c r="F174" s="8">
        <v>45830</v>
      </c>
      <c r="G174">
        <v>35</v>
      </c>
      <c r="H174">
        <v>1</v>
      </c>
      <c r="I174">
        <v>2</v>
      </c>
      <c r="J174">
        <v>0</v>
      </c>
      <c r="K174">
        <v>2</v>
      </c>
      <c r="L174">
        <v>3</v>
      </c>
      <c r="M174">
        <v>9</v>
      </c>
      <c r="N174">
        <v>90</v>
      </c>
      <c r="O174">
        <v>10.4</v>
      </c>
      <c r="P174" s="5">
        <f t="shared" si="35"/>
        <v>2.5714285714285716</v>
      </c>
      <c r="Q174" s="5">
        <f>IF(Performance_Data[[#This Row],[Minutes_Played]]&gt;0,Performance_Data[[#This Row],[Assists]]*90/Performance_Data[[#This Row],[Minutes_Played]], 0)</f>
        <v>5.1428571428571432</v>
      </c>
      <c r="R174" s="5">
        <f>IF(Performance_Data[[#This Row],[Key_Passes]]&gt;0,Performance_Data[[#This Row],[Key_Passes]]*90/Performance_Data[[#This Row],[Minutes_Played]],0)</f>
        <v>0</v>
      </c>
      <c r="S174" s="5">
        <f>IF(Performance_Data[[#This Row],[Shots]]&gt;0,Performance_Data[[#This Row],[Shots]]*90/Performance_Data[[#This Row],[Minutes_Played]],0)</f>
        <v>5.1428571428571432</v>
      </c>
      <c r="T174" s="6">
        <f>IF(Performance_Data[[#This Row],[Successful_Dribbles]]&gt;0,Performance_Data[[#This Row],[Successful_Dribbles]]*90/Performance_Data[[#This Row],[Minutes_Played]],0)</f>
        <v>7.7142857142857144</v>
      </c>
      <c r="U174" s="5">
        <f>IF(Performance_Data[[#This Row],[Duels_Won]]&gt;0,Performance_Data[[#This Row],[Duels_Won]]*90/Performance_Data[[#This Row],[Minutes_Played]],0)</f>
        <v>23.142857142857142</v>
      </c>
      <c r="V174" s="5">
        <f t="shared" si="36"/>
        <v>1.6537267080745341</v>
      </c>
      <c r="W174" s="5">
        <f t="shared" si="37"/>
        <v>1.7287267080745341</v>
      </c>
      <c r="X174" s="5">
        <f t="shared" si="38"/>
        <v>3.5580745341614906</v>
      </c>
      <c r="Y174" s="5">
        <f t="shared" si="39"/>
        <v>5.2701902665303875</v>
      </c>
      <c r="Z174" s="5">
        <f t="shared" si="40"/>
        <v>5.9473602484472057</v>
      </c>
      <c r="AA174" s="5">
        <f t="shared" si="41"/>
        <v>10.144364729931599</v>
      </c>
    </row>
    <row r="175" spans="1:27" x14ac:dyDescent="0.3">
      <c r="A175" s="3" t="s">
        <v>218</v>
      </c>
      <c r="B175" s="9" t="s">
        <v>35</v>
      </c>
      <c r="C175" s="3" t="s">
        <v>36</v>
      </c>
      <c r="D175">
        <v>21</v>
      </c>
      <c r="E175" s="3" t="s">
        <v>17</v>
      </c>
      <c r="F175" s="8">
        <v>45831</v>
      </c>
      <c r="G175">
        <v>51</v>
      </c>
      <c r="H175">
        <v>1</v>
      </c>
      <c r="I175">
        <v>1</v>
      </c>
      <c r="J175">
        <v>6</v>
      </c>
      <c r="K175">
        <v>3</v>
      </c>
      <c r="L175">
        <v>6</v>
      </c>
      <c r="M175">
        <v>3</v>
      </c>
      <c r="N175">
        <v>67</v>
      </c>
      <c r="O175">
        <v>8.4</v>
      </c>
      <c r="P175" s="5">
        <f t="shared" si="35"/>
        <v>1.7647058823529411</v>
      </c>
      <c r="Q175" s="5">
        <f>IF(Performance_Data[[#This Row],[Minutes_Played]]&gt;0,Performance_Data[[#This Row],[Assists]]*90/Performance_Data[[#This Row],[Minutes_Played]], 0)</f>
        <v>1.7647058823529411</v>
      </c>
      <c r="R175" s="5">
        <f>IF(Performance_Data[[#This Row],[Key_Passes]]&gt;0,Performance_Data[[#This Row],[Key_Passes]]*90/Performance_Data[[#This Row],[Minutes_Played]],0)</f>
        <v>10.588235294117647</v>
      </c>
      <c r="S175" s="5">
        <f>IF(Performance_Data[[#This Row],[Shots]]&gt;0,Performance_Data[[#This Row],[Shots]]*90/Performance_Data[[#This Row],[Minutes_Played]],0)</f>
        <v>5.2941176470588234</v>
      </c>
      <c r="T175" s="6">
        <f>IF(Performance_Data[[#This Row],[Successful_Dribbles]]&gt;0,Performance_Data[[#This Row],[Successful_Dribbles]]*90/Performance_Data[[#This Row],[Minutes_Played]],0)</f>
        <v>10.588235294117647</v>
      </c>
      <c r="U175" s="5">
        <f>IF(Performance_Data[[#This Row],[Duels_Won]]&gt;0,Performance_Data[[#This Row],[Duels_Won]]*90/Performance_Data[[#This Row],[Minutes_Played]],0)</f>
        <v>5.2941176470588234</v>
      </c>
      <c r="V175" s="5">
        <f t="shared" si="36"/>
        <v>1.5780964559736939</v>
      </c>
      <c r="W175" s="5">
        <f t="shared" si="37"/>
        <v>1.8673821702594082</v>
      </c>
      <c r="X175" s="5">
        <f t="shared" si="38"/>
        <v>5.0328644501278772</v>
      </c>
      <c r="Y175" s="5">
        <f t="shared" si="39"/>
        <v>5.6861566530850087</v>
      </c>
      <c r="Z175" s="5">
        <f t="shared" si="40"/>
        <v>6.3507215929850203</v>
      </c>
      <c r="AA175" s="5">
        <f t="shared" si="41"/>
        <v>10.560331116486221</v>
      </c>
    </row>
    <row r="176" spans="1:27" x14ac:dyDescent="0.3">
      <c r="A176" s="3" t="s">
        <v>219</v>
      </c>
      <c r="B176" s="9" t="s">
        <v>35</v>
      </c>
      <c r="C176" s="3" t="s">
        <v>36</v>
      </c>
      <c r="D176">
        <v>21</v>
      </c>
      <c r="E176" s="3" t="s">
        <v>17</v>
      </c>
      <c r="F176" s="8">
        <v>45832</v>
      </c>
      <c r="G176">
        <v>55</v>
      </c>
      <c r="H176">
        <v>0</v>
      </c>
      <c r="I176">
        <v>0</v>
      </c>
      <c r="J176">
        <v>5</v>
      </c>
      <c r="K176">
        <v>0</v>
      </c>
      <c r="L176">
        <v>0</v>
      </c>
      <c r="M176">
        <v>3</v>
      </c>
      <c r="N176">
        <v>70</v>
      </c>
      <c r="O176">
        <v>11</v>
      </c>
      <c r="P176" s="5">
        <f t="shared" si="35"/>
        <v>0</v>
      </c>
      <c r="Q176" s="5">
        <f>IF(Performance_Data[[#This Row],[Minutes_Played]]&gt;0,Performance_Data[[#This Row],[Assists]]*90/Performance_Data[[#This Row],[Minutes_Played]], 0)</f>
        <v>0</v>
      </c>
      <c r="R176" s="5">
        <f>IF(Performance_Data[[#This Row],[Key_Passes]]&gt;0,Performance_Data[[#This Row],[Key_Passes]]*90/Performance_Data[[#This Row],[Minutes_Played]],0)</f>
        <v>8.1818181818181817</v>
      </c>
      <c r="S176" s="5">
        <f>IF(Performance_Data[[#This Row],[Shots]]&gt;0,Performance_Data[[#This Row],[Shots]]*90/Performance_Data[[#This Row],[Minutes_Played]],0)</f>
        <v>0</v>
      </c>
      <c r="T176" s="6">
        <f>IF(Performance_Data[[#This Row],[Successful_Dribbles]]&gt;0,Performance_Data[[#This Row],[Successful_Dribbles]]*90/Performance_Data[[#This Row],[Minutes_Played]],0)</f>
        <v>0</v>
      </c>
      <c r="U176" s="5">
        <f>IF(Performance_Data[[#This Row],[Duels_Won]]&gt;0,Performance_Data[[#This Row],[Duels_Won]]*90/Performance_Data[[#This Row],[Minutes_Played]],0)</f>
        <v>4.9090909090909092</v>
      </c>
      <c r="V176" s="5">
        <f t="shared" si="36"/>
        <v>1.1280964559736939</v>
      </c>
      <c r="W176" s="5">
        <f t="shared" si="37"/>
        <v>1.6423821702594084</v>
      </c>
      <c r="X176" s="5">
        <f t="shared" si="38"/>
        <v>5.3192280864915134</v>
      </c>
      <c r="Y176" s="5">
        <f t="shared" si="39"/>
        <v>4.3361566530850091</v>
      </c>
      <c r="Z176" s="5">
        <f t="shared" si="40"/>
        <v>5.2257215929850203</v>
      </c>
      <c r="AA176" s="5">
        <f t="shared" si="41"/>
        <v>10.417149298304402</v>
      </c>
    </row>
    <row r="177" spans="1:27" x14ac:dyDescent="0.3">
      <c r="A177" s="3" t="s">
        <v>220</v>
      </c>
      <c r="B177" s="9" t="s">
        <v>35</v>
      </c>
      <c r="C177" s="3" t="s">
        <v>36</v>
      </c>
      <c r="D177">
        <v>21</v>
      </c>
      <c r="E177" s="3" t="s">
        <v>17</v>
      </c>
      <c r="F177" s="8">
        <v>45833</v>
      </c>
      <c r="G177">
        <v>70</v>
      </c>
      <c r="H177">
        <v>1</v>
      </c>
      <c r="I177">
        <v>0</v>
      </c>
      <c r="J177">
        <v>4</v>
      </c>
      <c r="K177">
        <v>1</v>
      </c>
      <c r="L177">
        <v>7</v>
      </c>
      <c r="M177">
        <v>10</v>
      </c>
      <c r="N177">
        <v>88</v>
      </c>
      <c r="O177">
        <v>9.1</v>
      </c>
      <c r="P177" s="5">
        <f t="shared" si="35"/>
        <v>1.2857142857142858</v>
      </c>
      <c r="Q177" s="5">
        <f>IF(Performance_Data[[#This Row],[Minutes_Played]]&gt;0,Performance_Data[[#This Row],[Assists]]*90/Performance_Data[[#This Row],[Minutes_Played]], 0)</f>
        <v>0</v>
      </c>
      <c r="R177" s="5">
        <f>IF(Performance_Data[[#This Row],[Key_Passes]]&gt;0,Performance_Data[[#This Row],[Key_Passes]]*90/Performance_Data[[#This Row],[Minutes_Played]],0)</f>
        <v>5.1428571428571432</v>
      </c>
      <c r="S177" s="5">
        <f>IF(Performance_Data[[#This Row],[Shots]]&gt;0,Performance_Data[[#This Row],[Shots]]*90/Performance_Data[[#This Row],[Minutes_Played]],0)</f>
        <v>1.2857142857142858</v>
      </c>
      <c r="T177" s="6">
        <f>IF(Performance_Data[[#This Row],[Successful_Dribbles]]&gt;0,Performance_Data[[#This Row],[Successful_Dribbles]]*90/Performance_Data[[#This Row],[Minutes_Played]],0)</f>
        <v>9</v>
      </c>
      <c r="U177" s="5">
        <f>IF(Performance_Data[[#This Row],[Duels_Won]]&gt;0,Performance_Data[[#This Row],[Duels_Won]]*90/Performance_Data[[#This Row],[Minutes_Played]],0)</f>
        <v>12.857142857142858</v>
      </c>
      <c r="V177" s="5">
        <f t="shared" si="36"/>
        <v>1.385239313116551</v>
      </c>
      <c r="W177" s="5">
        <f t="shared" si="37"/>
        <v>1.6423821702594084</v>
      </c>
      <c r="X177" s="5">
        <f t="shared" si="38"/>
        <v>6.3477995150629418</v>
      </c>
      <c r="Y177" s="5">
        <f t="shared" si="39"/>
        <v>3.9097552064303982</v>
      </c>
      <c r="Z177" s="5">
        <f t="shared" si="40"/>
        <v>7.0257215929850201</v>
      </c>
      <c r="AA177" s="5">
        <f t="shared" si="41"/>
        <v>11.849337363403858</v>
      </c>
    </row>
    <row r="178" spans="1:27" x14ac:dyDescent="0.3">
      <c r="A178" s="3" t="s">
        <v>221</v>
      </c>
      <c r="B178" s="9" t="s">
        <v>35</v>
      </c>
      <c r="C178" s="3" t="s">
        <v>36</v>
      </c>
      <c r="D178">
        <v>21</v>
      </c>
      <c r="E178" s="3" t="s">
        <v>17</v>
      </c>
      <c r="F178" s="8">
        <v>45834</v>
      </c>
      <c r="G178">
        <v>59</v>
      </c>
      <c r="H178">
        <v>1</v>
      </c>
      <c r="I178">
        <v>1</v>
      </c>
      <c r="J178">
        <v>6</v>
      </c>
      <c r="K178">
        <v>0</v>
      </c>
      <c r="L178">
        <v>8</v>
      </c>
      <c r="M178">
        <v>12</v>
      </c>
      <c r="N178">
        <v>66</v>
      </c>
      <c r="O178">
        <v>8.3000000000000007</v>
      </c>
      <c r="P178" s="5">
        <f t="shared" si="35"/>
        <v>1.5254237288135593</v>
      </c>
      <c r="Q178" s="5">
        <f>IF(Performance_Data[[#This Row],[Minutes_Played]]&gt;0,Performance_Data[[#This Row],[Assists]]*90/Performance_Data[[#This Row],[Minutes_Played]], 0)</f>
        <v>1.5254237288135593</v>
      </c>
      <c r="R178" s="5">
        <f>IF(Performance_Data[[#This Row],[Key_Passes]]&gt;0,Performance_Data[[#This Row],[Key_Passes]]*90/Performance_Data[[#This Row],[Minutes_Played]],0)</f>
        <v>9.1525423728813564</v>
      </c>
      <c r="S178" s="5">
        <f>IF(Performance_Data[[#This Row],[Shots]]&gt;0,Performance_Data[[#This Row],[Shots]]*90/Performance_Data[[#This Row],[Minutes_Played]],0)</f>
        <v>0</v>
      </c>
      <c r="T178" s="6">
        <f>IF(Performance_Data[[#This Row],[Successful_Dribbles]]&gt;0,Performance_Data[[#This Row],[Successful_Dribbles]]*90/Performance_Data[[#This Row],[Minutes_Played]],0)</f>
        <v>12.203389830508474</v>
      </c>
      <c r="U178" s="5">
        <f>IF(Performance_Data[[#This Row],[Duels_Won]]&gt;0,Performance_Data[[#This Row],[Duels_Won]]*90/Performance_Data[[#This Row],[Minutes_Played]],0)</f>
        <v>18.305084745762713</v>
      </c>
      <c r="V178" s="5">
        <f t="shared" si="36"/>
        <v>1.4294544936618716</v>
      </c>
      <c r="W178" s="5">
        <f t="shared" si="37"/>
        <v>1.6865973508047287</v>
      </c>
      <c r="X178" s="5">
        <f t="shared" si="38"/>
        <v>6.6130905983348658</v>
      </c>
      <c r="Y178" s="5">
        <f t="shared" si="39"/>
        <v>2.3445378151260505</v>
      </c>
      <c r="Z178" s="5">
        <f t="shared" si="40"/>
        <v>7.9011821677823662</v>
      </c>
      <c r="AA178" s="5">
        <f t="shared" si="41"/>
        <v>12.901658660382489</v>
      </c>
    </row>
    <row r="179" spans="1:27" x14ac:dyDescent="0.3">
      <c r="A179" s="3" t="s">
        <v>222</v>
      </c>
      <c r="B179" s="9" t="s">
        <v>35</v>
      </c>
      <c r="C179" s="3" t="s">
        <v>36</v>
      </c>
      <c r="D179">
        <v>21</v>
      </c>
      <c r="E179" s="3" t="s">
        <v>17</v>
      </c>
      <c r="F179" s="8">
        <v>45835</v>
      </c>
      <c r="G179">
        <v>38</v>
      </c>
      <c r="H179">
        <v>1</v>
      </c>
      <c r="I179">
        <v>1</v>
      </c>
      <c r="J179">
        <v>5</v>
      </c>
      <c r="K179">
        <v>6</v>
      </c>
      <c r="L179">
        <v>7</v>
      </c>
      <c r="M179">
        <v>6</v>
      </c>
      <c r="N179">
        <v>79</v>
      </c>
      <c r="O179">
        <v>10.3</v>
      </c>
      <c r="P179" s="5">
        <f t="shared" si="35"/>
        <v>2.3684210526315788</v>
      </c>
      <c r="Q179" s="5">
        <f>IF(Performance_Data[[#This Row],[Minutes_Played]]&gt;0,Performance_Data[[#This Row],[Assists]]*90/Performance_Data[[#This Row],[Minutes_Played]], 0)</f>
        <v>2.3684210526315788</v>
      </c>
      <c r="R179" s="5">
        <f>IF(Performance_Data[[#This Row],[Key_Passes]]&gt;0,Performance_Data[[#This Row],[Key_Passes]]*90/Performance_Data[[#This Row],[Minutes_Played]],0)</f>
        <v>11.842105263157896</v>
      </c>
      <c r="S179" s="5">
        <f>IF(Performance_Data[[#This Row],[Shots]]&gt;0,Performance_Data[[#This Row],[Shots]]*90/Performance_Data[[#This Row],[Minutes_Played]],0)</f>
        <v>14.210526315789474</v>
      </c>
      <c r="T179" s="6">
        <f>IF(Performance_Data[[#This Row],[Successful_Dribbles]]&gt;0,Performance_Data[[#This Row],[Successful_Dribbles]]*90/Performance_Data[[#This Row],[Minutes_Played]],0)</f>
        <v>16.578947368421051</v>
      </c>
      <c r="U179" s="5">
        <f>IF(Performance_Data[[#This Row],[Duels_Won]]&gt;0,Performance_Data[[#This Row],[Duels_Won]]*90/Performance_Data[[#This Row],[Minutes_Played]],0)</f>
        <v>14.210526315789474</v>
      </c>
      <c r="V179" s="5">
        <f t="shared" si="36"/>
        <v>1.3888529899024729</v>
      </c>
      <c r="W179" s="5">
        <f t="shared" si="37"/>
        <v>1.131710132759616</v>
      </c>
      <c r="X179" s="5">
        <f t="shared" si="38"/>
        <v>8.9815116509664445</v>
      </c>
      <c r="Y179" s="5">
        <f t="shared" si="39"/>
        <v>4.1580716497125163</v>
      </c>
      <c r="Z179" s="5">
        <f t="shared" si="40"/>
        <v>9.6741144986094341</v>
      </c>
      <c r="AA179" s="5">
        <f t="shared" si="41"/>
        <v>11.115192494968955</v>
      </c>
    </row>
    <row r="180" spans="1:27" x14ac:dyDescent="0.3">
      <c r="A180" s="3" t="s">
        <v>223</v>
      </c>
      <c r="B180" s="9" t="s">
        <v>35</v>
      </c>
      <c r="C180" s="3" t="s">
        <v>36</v>
      </c>
      <c r="D180">
        <v>21</v>
      </c>
      <c r="E180" s="3" t="s">
        <v>17</v>
      </c>
      <c r="F180" s="8">
        <v>45836</v>
      </c>
      <c r="G180">
        <v>64</v>
      </c>
      <c r="H180">
        <v>1</v>
      </c>
      <c r="I180">
        <v>0</v>
      </c>
      <c r="J180">
        <v>0</v>
      </c>
      <c r="K180">
        <v>3</v>
      </c>
      <c r="L180">
        <v>7</v>
      </c>
      <c r="M180">
        <v>5</v>
      </c>
      <c r="N180">
        <v>79</v>
      </c>
      <c r="O180">
        <v>10.4</v>
      </c>
      <c r="P180" s="5">
        <f t="shared" si="35"/>
        <v>1.40625</v>
      </c>
      <c r="Q180" s="5">
        <f>IF(Performance_Data[[#This Row],[Minutes_Played]]&gt;0,Performance_Data[[#This Row],[Assists]]*90/Performance_Data[[#This Row],[Minutes_Played]], 0)</f>
        <v>0</v>
      </c>
      <c r="R180" s="5">
        <f>IF(Performance_Data[[#This Row],[Key_Passes]]&gt;0,Performance_Data[[#This Row],[Key_Passes]]*90/Performance_Data[[#This Row],[Minutes_Played]],0)</f>
        <v>0</v>
      </c>
      <c r="S180" s="5">
        <f>IF(Performance_Data[[#This Row],[Shots]]&gt;0,Performance_Data[[#This Row],[Shots]]*90/Performance_Data[[#This Row],[Minutes_Played]],0)</f>
        <v>4.21875</v>
      </c>
      <c r="T180" s="6">
        <f>IF(Performance_Data[[#This Row],[Successful_Dribbles]]&gt;0,Performance_Data[[#This Row],[Successful_Dribbles]]*90/Performance_Data[[#This Row],[Minutes_Played]],0)</f>
        <v>9.84375</v>
      </c>
      <c r="U180" s="5">
        <f>IF(Performance_Data[[#This Row],[Duels_Won]]&gt;0,Performance_Data[[#This Row],[Duels_Won]]*90/Performance_Data[[#This Row],[Minutes_Played]],0)</f>
        <v>7.03125</v>
      </c>
      <c r="V180" s="5">
        <f t="shared" si="36"/>
        <v>1.3171618134318848</v>
      </c>
      <c r="W180" s="5">
        <f t="shared" si="37"/>
        <v>0.77876895628902765</v>
      </c>
      <c r="X180" s="5">
        <f t="shared" si="38"/>
        <v>6.8638645921429156</v>
      </c>
      <c r="Y180" s="5">
        <f t="shared" si="39"/>
        <v>3.9429981203007523</v>
      </c>
      <c r="Z180" s="5">
        <f t="shared" si="40"/>
        <v>9.5252174397859051</v>
      </c>
      <c r="AA180" s="5">
        <f t="shared" si="41"/>
        <v>11.462618965557191</v>
      </c>
    </row>
    <row r="181" spans="1:27" x14ac:dyDescent="0.3">
      <c r="A181" s="3" t="s">
        <v>224</v>
      </c>
      <c r="B181" s="9" t="s">
        <v>35</v>
      </c>
      <c r="C181" s="3" t="s">
        <v>36</v>
      </c>
      <c r="D181">
        <v>21</v>
      </c>
      <c r="E181" s="3" t="s">
        <v>17</v>
      </c>
      <c r="F181" s="8">
        <v>45837</v>
      </c>
      <c r="G181">
        <v>41</v>
      </c>
      <c r="H181">
        <v>2</v>
      </c>
      <c r="I181">
        <v>0</v>
      </c>
      <c r="J181">
        <v>4</v>
      </c>
      <c r="K181">
        <v>0</v>
      </c>
      <c r="L181">
        <v>7</v>
      </c>
      <c r="M181">
        <v>4</v>
      </c>
      <c r="N181">
        <v>80</v>
      </c>
      <c r="O181">
        <v>8.6</v>
      </c>
      <c r="P181" s="5">
        <f t="shared" si="35"/>
        <v>4.3902439024390247</v>
      </c>
      <c r="Q181" s="5">
        <f>IF(Performance_Data[[#This Row],[Minutes_Played]]&gt;0,Performance_Data[[#This Row],[Assists]]*90/Performance_Data[[#This Row],[Minutes_Played]], 0)</f>
        <v>0</v>
      </c>
      <c r="R181" s="5">
        <f>IF(Performance_Data[[#This Row],[Key_Passes]]&gt;0,Performance_Data[[#This Row],[Key_Passes]]*90/Performance_Data[[#This Row],[Minutes_Played]],0)</f>
        <v>8.7804878048780495</v>
      </c>
      <c r="S181" s="5">
        <f>IF(Performance_Data[[#This Row],[Shots]]&gt;0,Performance_Data[[#This Row],[Shots]]*90/Performance_Data[[#This Row],[Minutes_Played]],0)</f>
        <v>0</v>
      </c>
      <c r="T181" s="6">
        <f>IF(Performance_Data[[#This Row],[Successful_Dribbles]]&gt;0,Performance_Data[[#This Row],[Successful_Dribbles]]*90/Performance_Data[[#This Row],[Minutes_Played]],0)</f>
        <v>15.365853658536585</v>
      </c>
      <c r="U181" s="5">
        <f>IF(Performance_Data[[#This Row],[Duels_Won]]&gt;0,Performance_Data[[#This Row],[Duels_Won]]*90/Performance_Data[[#This Row],[Minutes_Played]],0)</f>
        <v>8.7804878048780495</v>
      </c>
      <c r="V181" s="5">
        <f t="shared" si="36"/>
        <v>2.1952105939196898</v>
      </c>
      <c r="W181" s="5">
        <f t="shared" si="37"/>
        <v>0.77876895628902765</v>
      </c>
      <c r="X181" s="5">
        <f t="shared" si="38"/>
        <v>6.9835985167548884</v>
      </c>
      <c r="Y181" s="5">
        <f t="shared" si="39"/>
        <v>3.9429981203007523</v>
      </c>
      <c r="Z181" s="5">
        <f t="shared" si="40"/>
        <v>12.598388171493223</v>
      </c>
      <c r="AA181" s="5">
        <f t="shared" si="41"/>
        <v>12.23689834471462</v>
      </c>
    </row>
    <row r="182" spans="1:27" x14ac:dyDescent="0.3">
      <c r="A182" s="3" t="s">
        <v>225</v>
      </c>
      <c r="B182" s="9" t="s">
        <v>37</v>
      </c>
      <c r="C182" s="3" t="s">
        <v>38</v>
      </c>
      <c r="D182">
        <v>22</v>
      </c>
      <c r="E182" s="3" t="s">
        <v>20</v>
      </c>
      <c r="F182" s="8">
        <v>45838</v>
      </c>
      <c r="G182">
        <v>38</v>
      </c>
      <c r="H182">
        <v>2</v>
      </c>
      <c r="I182">
        <v>1</v>
      </c>
      <c r="J182">
        <v>4</v>
      </c>
      <c r="K182">
        <v>5</v>
      </c>
      <c r="L182">
        <v>6</v>
      </c>
      <c r="M182">
        <v>10</v>
      </c>
      <c r="N182">
        <v>72</v>
      </c>
      <c r="O182">
        <v>9.1999999999999993</v>
      </c>
      <c r="P182" s="5">
        <f t="shared" si="35"/>
        <v>4.7368421052631575</v>
      </c>
      <c r="Q182" s="5">
        <f>IF(Performance_Data[[#This Row],[Minutes_Played]]&gt;0,Performance_Data[[#This Row],[Assists]]*90/Performance_Data[[#This Row],[Minutes_Played]], 0)</f>
        <v>2.3684210526315788</v>
      </c>
      <c r="R182" s="5">
        <f>IF(Performance_Data[[#This Row],[Key_Passes]]&gt;0,Performance_Data[[#This Row],[Key_Passes]]*90/Performance_Data[[#This Row],[Minutes_Played]],0)</f>
        <v>9.473684210526315</v>
      </c>
      <c r="S182" s="5">
        <f>IF(Performance_Data[[#This Row],[Shots]]&gt;0,Performance_Data[[#This Row],[Shots]]*90/Performance_Data[[#This Row],[Minutes_Played]],0)</f>
        <v>11.842105263157896</v>
      </c>
      <c r="T182" s="6">
        <f>IF(Performance_Data[[#This Row],[Successful_Dribbles]]&gt;0,Performance_Data[[#This Row],[Successful_Dribbles]]*90/Performance_Data[[#This Row],[Minutes_Played]],0)</f>
        <v>14.210526315789474</v>
      </c>
      <c r="U182" s="5">
        <f>IF(Performance_Data[[#This Row],[Duels_Won]]&gt;0,Performance_Data[[#This Row],[Duels_Won]]*90/Performance_Data[[#This Row],[Minutes_Played]],0)</f>
        <v>23.684210526315791</v>
      </c>
      <c r="V182" s="5" t="str">
        <f t="shared" si="36"/>
        <v/>
      </c>
      <c r="W182" s="5" t="str">
        <f t="shared" si="37"/>
        <v/>
      </c>
      <c r="X182" s="5" t="str">
        <f t="shared" si="38"/>
        <v/>
      </c>
      <c r="Y182" s="5" t="str">
        <f t="shared" si="39"/>
        <v/>
      </c>
      <c r="Z182" s="5" t="str">
        <f t="shared" si="40"/>
        <v/>
      </c>
      <c r="AA182" s="5" t="str">
        <f t="shared" si="41"/>
        <v/>
      </c>
    </row>
    <row r="183" spans="1:27" x14ac:dyDescent="0.3">
      <c r="A183" s="3" t="s">
        <v>226</v>
      </c>
      <c r="B183" s="9" t="s">
        <v>37</v>
      </c>
      <c r="C183" s="3" t="s">
        <v>38</v>
      </c>
      <c r="D183">
        <v>22</v>
      </c>
      <c r="E183" s="3" t="s">
        <v>20</v>
      </c>
      <c r="F183" s="8">
        <v>45839</v>
      </c>
      <c r="G183">
        <v>42</v>
      </c>
      <c r="H183">
        <v>2</v>
      </c>
      <c r="I183">
        <v>1</v>
      </c>
      <c r="J183">
        <v>3</v>
      </c>
      <c r="K183">
        <v>5</v>
      </c>
      <c r="L183">
        <v>4</v>
      </c>
      <c r="M183">
        <v>12</v>
      </c>
      <c r="N183">
        <v>69</v>
      </c>
      <c r="O183">
        <v>10.3</v>
      </c>
      <c r="P183" s="5">
        <f t="shared" si="35"/>
        <v>4.2857142857142856</v>
      </c>
      <c r="Q183" s="5">
        <f>IF(Performance_Data[[#This Row],[Minutes_Played]]&gt;0,Performance_Data[[#This Row],[Assists]]*90/Performance_Data[[#This Row],[Minutes_Played]], 0)</f>
        <v>2.1428571428571428</v>
      </c>
      <c r="R183" s="5">
        <f>IF(Performance_Data[[#This Row],[Key_Passes]]&gt;0,Performance_Data[[#This Row],[Key_Passes]]*90/Performance_Data[[#This Row],[Minutes_Played]],0)</f>
        <v>6.4285714285714288</v>
      </c>
      <c r="S183" s="5">
        <f>IF(Performance_Data[[#This Row],[Shots]]&gt;0,Performance_Data[[#This Row],[Shots]]*90/Performance_Data[[#This Row],[Minutes_Played]],0)</f>
        <v>10.714285714285714</v>
      </c>
      <c r="T183" s="6">
        <f>IF(Performance_Data[[#This Row],[Successful_Dribbles]]&gt;0,Performance_Data[[#This Row],[Successful_Dribbles]]*90/Performance_Data[[#This Row],[Minutes_Played]],0)</f>
        <v>8.5714285714285712</v>
      </c>
      <c r="U183" s="5">
        <f>IF(Performance_Data[[#This Row],[Duels_Won]]&gt;0,Performance_Data[[#This Row],[Duels_Won]]*90/Performance_Data[[#This Row],[Minutes_Played]],0)</f>
        <v>25.714285714285715</v>
      </c>
      <c r="V183" s="5" t="str">
        <f t="shared" si="36"/>
        <v/>
      </c>
      <c r="W183" s="5" t="str">
        <f t="shared" si="37"/>
        <v/>
      </c>
      <c r="X183" s="5" t="str">
        <f t="shared" si="38"/>
        <v/>
      </c>
      <c r="Y183" s="5" t="str">
        <f t="shared" si="39"/>
        <v/>
      </c>
      <c r="Z183" s="5" t="str">
        <f t="shared" si="40"/>
        <v/>
      </c>
      <c r="AA183" s="5" t="str">
        <f t="shared" si="41"/>
        <v/>
      </c>
    </row>
    <row r="184" spans="1:27" x14ac:dyDescent="0.3">
      <c r="A184" s="3" t="s">
        <v>227</v>
      </c>
      <c r="B184" s="9" t="s">
        <v>37</v>
      </c>
      <c r="C184" s="3" t="s">
        <v>38</v>
      </c>
      <c r="D184">
        <v>22</v>
      </c>
      <c r="E184" s="3" t="s">
        <v>20</v>
      </c>
      <c r="F184" s="8">
        <v>45840</v>
      </c>
      <c r="G184">
        <v>72</v>
      </c>
      <c r="H184">
        <v>0</v>
      </c>
      <c r="I184">
        <v>2</v>
      </c>
      <c r="J184">
        <v>4</v>
      </c>
      <c r="K184">
        <v>4</v>
      </c>
      <c r="L184">
        <v>3</v>
      </c>
      <c r="M184">
        <v>5</v>
      </c>
      <c r="N184">
        <v>79</v>
      </c>
      <c r="O184">
        <v>10.7</v>
      </c>
      <c r="P184" s="5">
        <f t="shared" si="35"/>
        <v>0</v>
      </c>
      <c r="Q184" s="5">
        <f>IF(Performance_Data[[#This Row],[Minutes_Played]]&gt;0,Performance_Data[[#This Row],[Assists]]*90/Performance_Data[[#This Row],[Minutes_Played]], 0)</f>
        <v>2.5</v>
      </c>
      <c r="R184" s="5">
        <f>IF(Performance_Data[[#This Row],[Key_Passes]]&gt;0,Performance_Data[[#This Row],[Key_Passes]]*90/Performance_Data[[#This Row],[Minutes_Played]],0)</f>
        <v>5</v>
      </c>
      <c r="S184" s="5">
        <f>IF(Performance_Data[[#This Row],[Shots]]&gt;0,Performance_Data[[#This Row],[Shots]]*90/Performance_Data[[#This Row],[Minutes_Played]],0)</f>
        <v>5</v>
      </c>
      <c r="T184" s="6">
        <f>IF(Performance_Data[[#This Row],[Successful_Dribbles]]&gt;0,Performance_Data[[#This Row],[Successful_Dribbles]]*90/Performance_Data[[#This Row],[Minutes_Played]],0)</f>
        <v>3.75</v>
      </c>
      <c r="U184" s="5">
        <f>IF(Performance_Data[[#This Row],[Duels_Won]]&gt;0,Performance_Data[[#This Row],[Duels_Won]]*90/Performance_Data[[#This Row],[Minutes_Played]],0)</f>
        <v>6.25</v>
      </c>
      <c r="V184" s="5" t="str">
        <f t="shared" si="36"/>
        <v/>
      </c>
      <c r="W184" s="5" t="str">
        <f t="shared" si="37"/>
        <v/>
      </c>
      <c r="X184" s="5" t="str">
        <f t="shared" si="38"/>
        <v/>
      </c>
      <c r="Y184" s="5" t="str">
        <f t="shared" si="39"/>
        <v/>
      </c>
      <c r="Z184" s="5" t="str">
        <f t="shared" si="40"/>
        <v/>
      </c>
      <c r="AA184" s="5" t="str">
        <f t="shared" si="41"/>
        <v/>
      </c>
    </row>
    <row r="185" spans="1:27" x14ac:dyDescent="0.3">
      <c r="A185" s="3" t="s">
        <v>228</v>
      </c>
      <c r="B185" s="9" t="s">
        <v>37</v>
      </c>
      <c r="C185" s="3" t="s">
        <v>38</v>
      </c>
      <c r="D185">
        <v>22</v>
      </c>
      <c r="E185" s="3" t="s">
        <v>20</v>
      </c>
      <c r="F185" s="8">
        <v>45841</v>
      </c>
      <c r="G185">
        <v>88</v>
      </c>
      <c r="H185">
        <v>2</v>
      </c>
      <c r="I185">
        <v>2</v>
      </c>
      <c r="J185">
        <v>4</v>
      </c>
      <c r="K185">
        <v>4</v>
      </c>
      <c r="L185">
        <v>4</v>
      </c>
      <c r="M185">
        <v>6</v>
      </c>
      <c r="N185">
        <v>76</v>
      </c>
      <c r="O185">
        <v>11.5</v>
      </c>
      <c r="P185" s="5">
        <f t="shared" si="35"/>
        <v>2.0454545454545454</v>
      </c>
      <c r="Q185" s="5">
        <f>IF(Performance_Data[[#This Row],[Minutes_Played]]&gt;0,Performance_Data[[#This Row],[Assists]]*90/Performance_Data[[#This Row],[Minutes_Played]], 0)</f>
        <v>2.0454545454545454</v>
      </c>
      <c r="R185" s="5">
        <f>IF(Performance_Data[[#This Row],[Key_Passes]]&gt;0,Performance_Data[[#This Row],[Key_Passes]]*90/Performance_Data[[#This Row],[Minutes_Played]],0)</f>
        <v>4.0909090909090908</v>
      </c>
      <c r="S185" s="5">
        <f>IF(Performance_Data[[#This Row],[Shots]]&gt;0,Performance_Data[[#This Row],[Shots]]*90/Performance_Data[[#This Row],[Minutes_Played]],0)</f>
        <v>4.0909090909090908</v>
      </c>
      <c r="T185" s="6">
        <f>IF(Performance_Data[[#This Row],[Successful_Dribbles]]&gt;0,Performance_Data[[#This Row],[Successful_Dribbles]]*90/Performance_Data[[#This Row],[Minutes_Played]],0)</f>
        <v>4.0909090909090908</v>
      </c>
      <c r="U185" s="5">
        <f>IF(Performance_Data[[#This Row],[Duels_Won]]&gt;0,Performance_Data[[#This Row],[Duels_Won]]*90/Performance_Data[[#This Row],[Minutes_Played]],0)</f>
        <v>6.1363636363636367</v>
      </c>
      <c r="V185" s="5" t="str">
        <f t="shared" si="36"/>
        <v/>
      </c>
      <c r="W185" s="5" t="str">
        <f t="shared" si="37"/>
        <v/>
      </c>
      <c r="X185" s="5" t="str">
        <f t="shared" si="38"/>
        <v/>
      </c>
      <c r="Y185" s="5" t="str">
        <f t="shared" si="39"/>
        <v/>
      </c>
      <c r="Z185" s="5" t="str">
        <f t="shared" si="40"/>
        <v/>
      </c>
      <c r="AA185" s="5" t="str">
        <f t="shared" si="41"/>
        <v/>
      </c>
    </row>
    <row r="186" spans="1:27" x14ac:dyDescent="0.3">
      <c r="A186" s="3" t="s">
        <v>229</v>
      </c>
      <c r="B186" s="9" t="s">
        <v>37</v>
      </c>
      <c r="C186" s="3" t="s">
        <v>38</v>
      </c>
      <c r="D186">
        <v>22</v>
      </c>
      <c r="E186" s="3" t="s">
        <v>20</v>
      </c>
      <c r="F186" s="8">
        <v>45842</v>
      </c>
      <c r="G186">
        <v>81</v>
      </c>
      <c r="H186">
        <v>0</v>
      </c>
      <c r="I186">
        <v>2</v>
      </c>
      <c r="J186">
        <v>0</v>
      </c>
      <c r="K186">
        <v>0</v>
      </c>
      <c r="L186">
        <v>7</v>
      </c>
      <c r="M186">
        <v>2</v>
      </c>
      <c r="N186">
        <v>92</v>
      </c>
      <c r="O186">
        <v>11.1</v>
      </c>
      <c r="P186" s="5">
        <f t="shared" si="35"/>
        <v>0</v>
      </c>
      <c r="Q186" s="5">
        <f>IF(Performance_Data[[#This Row],[Minutes_Played]]&gt;0,Performance_Data[[#This Row],[Assists]]*90/Performance_Data[[#This Row],[Minutes_Played]], 0)</f>
        <v>2.2222222222222223</v>
      </c>
      <c r="R186" s="5">
        <f>IF(Performance_Data[[#This Row],[Key_Passes]]&gt;0,Performance_Data[[#This Row],[Key_Passes]]*90/Performance_Data[[#This Row],[Minutes_Played]],0)</f>
        <v>0</v>
      </c>
      <c r="S186" s="5">
        <f>IF(Performance_Data[[#This Row],[Shots]]&gt;0,Performance_Data[[#This Row],[Shots]]*90/Performance_Data[[#This Row],[Minutes_Played]],0)</f>
        <v>0</v>
      </c>
      <c r="T186" s="6">
        <f>IF(Performance_Data[[#This Row],[Successful_Dribbles]]&gt;0,Performance_Data[[#This Row],[Successful_Dribbles]]*90/Performance_Data[[#This Row],[Minutes_Played]],0)</f>
        <v>7.7777777777777777</v>
      </c>
      <c r="U186" s="5">
        <f>IF(Performance_Data[[#This Row],[Duels_Won]]&gt;0,Performance_Data[[#This Row],[Duels_Won]]*90/Performance_Data[[#This Row],[Minutes_Played]],0)</f>
        <v>2.2222222222222223</v>
      </c>
      <c r="V186" s="5">
        <f t="shared" si="36"/>
        <v>2.2136021872863973</v>
      </c>
      <c r="W186" s="5">
        <f t="shared" si="37"/>
        <v>2.2557909926330977</v>
      </c>
      <c r="X186" s="5">
        <f t="shared" si="38"/>
        <v>4.9986329460013668</v>
      </c>
      <c r="Y186" s="5">
        <f t="shared" si="39"/>
        <v>6.3294600136705395</v>
      </c>
      <c r="Z186" s="5">
        <f t="shared" si="40"/>
        <v>7.6801283511809828</v>
      </c>
      <c r="AA186" s="5">
        <f t="shared" si="41"/>
        <v>12.801416419837475</v>
      </c>
    </row>
    <row r="187" spans="1:27" x14ac:dyDescent="0.3">
      <c r="A187" s="3" t="s">
        <v>230</v>
      </c>
      <c r="B187" s="9" t="s">
        <v>37</v>
      </c>
      <c r="C187" s="3" t="s">
        <v>38</v>
      </c>
      <c r="D187">
        <v>22</v>
      </c>
      <c r="E187" s="3" t="s">
        <v>20</v>
      </c>
      <c r="F187" s="8">
        <v>45843</v>
      </c>
      <c r="G187">
        <v>39</v>
      </c>
      <c r="H187">
        <v>2</v>
      </c>
      <c r="I187">
        <v>0</v>
      </c>
      <c r="J187">
        <v>3</v>
      </c>
      <c r="K187">
        <v>0</v>
      </c>
      <c r="L187">
        <v>4</v>
      </c>
      <c r="M187">
        <v>3</v>
      </c>
      <c r="N187">
        <v>86</v>
      </c>
      <c r="O187">
        <v>11.4</v>
      </c>
      <c r="P187" s="5">
        <f t="shared" si="35"/>
        <v>4.615384615384615</v>
      </c>
      <c r="Q187" s="5">
        <f>IF(Performance_Data[[#This Row],[Minutes_Played]]&gt;0,Performance_Data[[#This Row],[Assists]]*90/Performance_Data[[#This Row],[Minutes_Played]], 0)</f>
        <v>0</v>
      </c>
      <c r="R187" s="5">
        <f>IF(Performance_Data[[#This Row],[Key_Passes]]&gt;0,Performance_Data[[#This Row],[Key_Passes]]*90/Performance_Data[[#This Row],[Minutes_Played]],0)</f>
        <v>6.9230769230769234</v>
      </c>
      <c r="S187" s="5">
        <f>IF(Performance_Data[[#This Row],[Shots]]&gt;0,Performance_Data[[#This Row],[Shots]]*90/Performance_Data[[#This Row],[Minutes_Played]],0)</f>
        <v>0</v>
      </c>
      <c r="T187" s="6">
        <f>IF(Performance_Data[[#This Row],[Successful_Dribbles]]&gt;0,Performance_Data[[#This Row],[Successful_Dribbles]]*90/Performance_Data[[#This Row],[Minutes_Played]],0)</f>
        <v>9.2307692307692299</v>
      </c>
      <c r="U187" s="5">
        <f>IF(Performance_Data[[#This Row],[Duels_Won]]&gt;0,Performance_Data[[#This Row],[Duels_Won]]*90/Performance_Data[[#This Row],[Minutes_Played]],0)</f>
        <v>6.9230769230769234</v>
      </c>
      <c r="V187" s="5">
        <f t="shared" si="36"/>
        <v>2.1893106893106893</v>
      </c>
      <c r="W187" s="5">
        <f t="shared" si="37"/>
        <v>1.7821067821067822</v>
      </c>
      <c r="X187" s="5">
        <f t="shared" si="38"/>
        <v>4.488511488511489</v>
      </c>
      <c r="Y187" s="5">
        <f t="shared" si="39"/>
        <v>3.9610389610389611</v>
      </c>
      <c r="Z187" s="5">
        <f t="shared" si="40"/>
        <v>6.6841769341769348</v>
      </c>
      <c r="AA187" s="5">
        <f t="shared" si="41"/>
        <v>9.4491896991896986</v>
      </c>
    </row>
    <row r="188" spans="1:27" x14ac:dyDescent="0.3">
      <c r="A188" s="3" t="s">
        <v>231</v>
      </c>
      <c r="B188" s="9" t="s">
        <v>37</v>
      </c>
      <c r="C188" s="3" t="s">
        <v>38</v>
      </c>
      <c r="D188">
        <v>22</v>
      </c>
      <c r="E188" s="3" t="s">
        <v>20</v>
      </c>
      <c r="F188" s="8">
        <v>45844</v>
      </c>
      <c r="G188">
        <v>70</v>
      </c>
      <c r="H188">
        <v>0</v>
      </c>
      <c r="I188">
        <v>1</v>
      </c>
      <c r="J188">
        <v>3</v>
      </c>
      <c r="K188">
        <v>3</v>
      </c>
      <c r="L188">
        <v>2</v>
      </c>
      <c r="M188">
        <v>2</v>
      </c>
      <c r="N188">
        <v>79</v>
      </c>
      <c r="O188">
        <v>11.1</v>
      </c>
      <c r="P188" s="5">
        <f t="shared" si="35"/>
        <v>0</v>
      </c>
      <c r="Q188" s="5">
        <f>IF(Performance_Data[[#This Row],[Minutes_Played]]&gt;0,Performance_Data[[#This Row],[Assists]]*90/Performance_Data[[#This Row],[Minutes_Played]], 0)</f>
        <v>1.2857142857142858</v>
      </c>
      <c r="R188" s="5">
        <f>IF(Performance_Data[[#This Row],[Key_Passes]]&gt;0,Performance_Data[[#This Row],[Key_Passes]]*90/Performance_Data[[#This Row],[Minutes_Played]],0)</f>
        <v>3.8571428571428572</v>
      </c>
      <c r="S188" s="5">
        <f>IF(Performance_Data[[#This Row],[Shots]]&gt;0,Performance_Data[[#This Row],[Shots]]*90/Performance_Data[[#This Row],[Minutes_Played]],0)</f>
        <v>3.8571428571428572</v>
      </c>
      <c r="T188" s="6">
        <f>IF(Performance_Data[[#This Row],[Successful_Dribbles]]&gt;0,Performance_Data[[#This Row],[Successful_Dribbles]]*90/Performance_Data[[#This Row],[Minutes_Played]],0)</f>
        <v>2.5714285714285716</v>
      </c>
      <c r="U188" s="5">
        <f>IF(Performance_Data[[#This Row],[Duels_Won]]&gt;0,Performance_Data[[#This Row],[Duels_Won]]*90/Performance_Data[[#This Row],[Minutes_Played]],0)</f>
        <v>2.5714285714285716</v>
      </c>
      <c r="V188" s="5">
        <f t="shared" si="36"/>
        <v>1.3321678321678321</v>
      </c>
      <c r="W188" s="5">
        <f t="shared" si="37"/>
        <v>1.6106782106782105</v>
      </c>
      <c r="X188" s="5">
        <f t="shared" si="38"/>
        <v>3.9742257742257743</v>
      </c>
      <c r="Y188" s="5">
        <f t="shared" si="39"/>
        <v>2.5896103896103897</v>
      </c>
      <c r="Z188" s="5">
        <f t="shared" si="40"/>
        <v>5.4841769341769346</v>
      </c>
      <c r="AA188" s="5">
        <f t="shared" si="41"/>
        <v>4.8206182706182705</v>
      </c>
    </row>
    <row r="189" spans="1:27" x14ac:dyDescent="0.3">
      <c r="A189" s="3" t="s">
        <v>232</v>
      </c>
      <c r="B189" s="9" t="s">
        <v>37</v>
      </c>
      <c r="C189" s="3" t="s">
        <v>38</v>
      </c>
      <c r="D189">
        <v>22</v>
      </c>
      <c r="E189" s="3" t="s">
        <v>20</v>
      </c>
      <c r="F189" s="8">
        <v>45845</v>
      </c>
      <c r="G189">
        <v>74</v>
      </c>
      <c r="H189">
        <v>1</v>
      </c>
      <c r="I189">
        <v>2</v>
      </c>
      <c r="J189">
        <v>0</v>
      </c>
      <c r="K189">
        <v>0</v>
      </c>
      <c r="L189">
        <v>4</v>
      </c>
      <c r="M189">
        <v>7</v>
      </c>
      <c r="N189">
        <v>77</v>
      </c>
      <c r="O189">
        <v>11.8</v>
      </c>
      <c r="P189" s="5">
        <f t="shared" si="35"/>
        <v>1.2162162162162162</v>
      </c>
      <c r="Q189" s="5">
        <f>IF(Performance_Data[[#This Row],[Minutes_Played]]&gt;0,Performance_Data[[#This Row],[Assists]]*90/Performance_Data[[#This Row],[Minutes_Played]], 0)</f>
        <v>2.4324324324324325</v>
      </c>
      <c r="R189" s="5">
        <f>IF(Performance_Data[[#This Row],[Key_Passes]]&gt;0,Performance_Data[[#This Row],[Key_Passes]]*90/Performance_Data[[#This Row],[Minutes_Played]],0)</f>
        <v>0</v>
      </c>
      <c r="S189" s="5">
        <f>IF(Performance_Data[[#This Row],[Shots]]&gt;0,Performance_Data[[#This Row],[Shots]]*90/Performance_Data[[#This Row],[Minutes_Played]],0)</f>
        <v>0</v>
      </c>
      <c r="T189" s="6">
        <f>IF(Performance_Data[[#This Row],[Successful_Dribbles]]&gt;0,Performance_Data[[#This Row],[Successful_Dribbles]]*90/Performance_Data[[#This Row],[Minutes_Played]],0)</f>
        <v>4.8648648648648649</v>
      </c>
      <c r="U189" s="5">
        <f>IF(Performance_Data[[#This Row],[Duels_Won]]&gt;0,Performance_Data[[#This Row],[Duels_Won]]*90/Performance_Data[[#This Row],[Minutes_Played]],0)</f>
        <v>8.513513513513514</v>
      </c>
      <c r="V189" s="5">
        <f t="shared" si="36"/>
        <v>1.5754110754110751</v>
      </c>
      <c r="W189" s="5">
        <f t="shared" si="37"/>
        <v>1.5971646971646973</v>
      </c>
      <c r="X189" s="5">
        <f t="shared" si="38"/>
        <v>2.9742257742257743</v>
      </c>
      <c r="Y189" s="5">
        <f t="shared" si="39"/>
        <v>1.5896103896103895</v>
      </c>
      <c r="Z189" s="5">
        <f t="shared" si="40"/>
        <v>5.7071499071499074</v>
      </c>
      <c r="AA189" s="5">
        <f t="shared" si="41"/>
        <v>5.2733209733209732</v>
      </c>
    </row>
    <row r="190" spans="1:27" x14ac:dyDescent="0.3">
      <c r="A190" s="3" t="s">
        <v>233</v>
      </c>
      <c r="B190" s="9" t="s">
        <v>37</v>
      </c>
      <c r="C190" s="3" t="s">
        <v>38</v>
      </c>
      <c r="D190">
        <v>22</v>
      </c>
      <c r="E190" s="3" t="s">
        <v>20</v>
      </c>
      <c r="F190" s="8">
        <v>45846</v>
      </c>
      <c r="G190">
        <v>53</v>
      </c>
      <c r="H190">
        <v>1</v>
      </c>
      <c r="I190">
        <v>1</v>
      </c>
      <c r="J190">
        <v>1</v>
      </c>
      <c r="K190">
        <v>2</v>
      </c>
      <c r="L190">
        <v>7</v>
      </c>
      <c r="M190">
        <v>6</v>
      </c>
      <c r="N190">
        <v>91</v>
      </c>
      <c r="O190">
        <v>11.7</v>
      </c>
      <c r="P190" s="5">
        <f t="shared" si="35"/>
        <v>1.6981132075471699</v>
      </c>
      <c r="Q190" s="5">
        <f>IF(Performance_Data[[#This Row],[Minutes_Played]]&gt;0,Performance_Data[[#This Row],[Assists]]*90/Performance_Data[[#This Row],[Minutes_Played]], 0)</f>
        <v>1.6981132075471699</v>
      </c>
      <c r="R190" s="5">
        <f>IF(Performance_Data[[#This Row],[Key_Passes]]&gt;0,Performance_Data[[#This Row],[Key_Passes]]*90/Performance_Data[[#This Row],[Minutes_Played]],0)</f>
        <v>1.6981132075471699</v>
      </c>
      <c r="S190" s="5">
        <f>IF(Performance_Data[[#This Row],[Shots]]&gt;0,Performance_Data[[#This Row],[Shots]]*90/Performance_Data[[#This Row],[Minutes_Played]],0)</f>
        <v>3.3962264150943398</v>
      </c>
      <c r="T190" s="6">
        <f>IF(Performance_Data[[#This Row],[Successful_Dribbles]]&gt;0,Performance_Data[[#This Row],[Successful_Dribbles]]*90/Performance_Data[[#This Row],[Minutes_Played]],0)</f>
        <v>11.886792452830189</v>
      </c>
      <c r="U190" s="5">
        <f>IF(Performance_Data[[#This Row],[Duels_Won]]&gt;0,Performance_Data[[#This Row],[Duels_Won]]*90/Performance_Data[[#This Row],[Minutes_Played]],0)</f>
        <v>10.188679245283019</v>
      </c>
      <c r="V190" s="5">
        <f t="shared" si="36"/>
        <v>1.5059428078296002</v>
      </c>
      <c r="W190" s="5">
        <f t="shared" si="37"/>
        <v>1.527696429583222</v>
      </c>
      <c r="X190" s="5">
        <f t="shared" si="38"/>
        <v>2.4956665975533903</v>
      </c>
      <c r="Y190" s="5">
        <f t="shared" si="39"/>
        <v>1.4506738544474396</v>
      </c>
      <c r="Z190" s="5">
        <f t="shared" si="40"/>
        <v>7.2663265795341259</v>
      </c>
      <c r="AA190" s="5">
        <f t="shared" si="41"/>
        <v>6.0837840951048499</v>
      </c>
    </row>
    <row r="191" spans="1:27" x14ac:dyDescent="0.3">
      <c r="A191" s="3" t="s">
        <v>234</v>
      </c>
      <c r="B191" s="9" t="s">
        <v>37</v>
      </c>
      <c r="C191" s="3" t="s">
        <v>38</v>
      </c>
      <c r="D191">
        <v>22</v>
      </c>
      <c r="E191" s="3" t="s">
        <v>20</v>
      </c>
      <c r="F191" s="8">
        <v>45847</v>
      </c>
      <c r="G191">
        <v>83</v>
      </c>
      <c r="H191">
        <v>1</v>
      </c>
      <c r="I191">
        <v>2</v>
      </c>
      <c r="J191">
        <v>2</v>
      </c>
      <c r="K191">
        <v>2</v>
      </c>
      <c r="L191">
        <v>5</v>
      </c>
      <c r="M191">
        <v>5</v>
      </c>
      <c r="N191">
        <v>85</v>
      </c>
      <c r="O191">
        <v>10.9</v>
      </c>
      <c r="P191" s="5">
        <f t="shared" si="35"/>
        <v>1.0843373493975903</v>
      </c>
      <c r="Q191" s="5">
        <f>IF(Performance_Data[[#This Row],[Minutes_Played]]&gt;0,Performance_Data[[#This Row],[Assists]]*90/Performance_Data[[#This Row],[Minutes_Played]], 0)</f>
        <v>2.1686746987951806</v>
      </c>
      <c r="R191" s="5">
        <f>IF(Performance_Data[[#This Row],[Key_Passes]]&gt;0,Performance_Data[[#This Row],[Key_Passes]]*90/Performance_Data[[#This Row],[Minutes_Played]],0)</f>
        <v>2.1686746987951806</v>
      </c>
      <c r="S191" s="5">
        <f>IF(Performance_Data[[#This Row],[Shots]]&gt;0,Performance_Data[[#This Row],[Shots]]*90/Performance_Data[[#This Row],[Minutes_Played]],0)</f>
        <v>2.1686746987951806</v>
      </c>
      <c r="T191" s="6">
        <f>IF(Performance_Data[[#This Row],[Successful_Dribbles]]&gt;0,Performance_Data[[#This Row],[Successful_Dribbles]]*90/Performance_Data[[#This Row],[Minutes_Played]],0)</f>
        <v>5.4216867469879517</v>
      </c>
      <c r="U191" s="5">
        <f>IF(Performance_Data[[#This Row],[Duels_Won]]&gt;0,Performance_Data[[#This Row],[Duels_Won]]*90/Performance_Data[[#This Row],[Minutes_Played]],0)</f>
        <v>5.4216867469879517</v>
      </c>
      <c r="V191" s="5">
        <f t="shared" si="36"/>
        <v>1.7228102777091181</v>
      </c>
      <c r="W191" s="5">
        <f t="shared" si="37"/>
        <v>1.5169869248978138</v>
      </c>
      <c r="X191" s="5">
        <f t="shared" si="38"/>
        <v>2.9294015373124265</v>
      </c>
      <c r="Y191" s="5">
        <f t="shared" si="39"/>
        <v>1.8844087942064758</v>
      </c>
      <c r="Z191" s="5">
        <f t="shared" si="40"/>
        <v>6.795108373376161</v>
      </c>
      <c r="AA191" s="5">
        <f t="shared" si="41"/>
        <v>6.7236770000579948</v>
      </c>
    </row>
    <row r="192" spans="1:27" x14ac:dyDescent="0.3">
      <c r="A192" s="3" t="s">
        <v>235</v>
      </c>
      <c r="B192" s="9" t="s">
        <v>37</v>
      </c>
      <c r="C192" s="3" t="s">
        <v>38</v>
      </c>
      <c r="D192">
        <v>22</v>
      </c>
      <c r="E192" s="3" t="s">
        <v>20</v>
      </c>
      <c r="F192" s="8">
        <v>45848</v>
      </c>
      <c r="G192">
        <v>73</v>
      </c>
      <c r="H192">
        <v>2</v>
      </c>
      <c r="I192">
        <v>2</v>
      </c>
      <c r="J192">
        <v>4</v>
      </c>
      <c r="K192">
        <v>0</v>
      </c>
      <c r="L192">
        <v>5</v>
      </c>
      <c r="M192">
        <v>9</v>
      </c>
      <c r="N192">
        <v>69</v>
      </c>
      <c r="O192">
        <v>11.8</v>
      </c>
      <c r="P192" s="5">
        <f t="shared" si="35"/>
        <v>2.4657534246575343</v>
      </c>
      <c r="Q192" s="5">
        <f>IF(Performance_Data[[#This Row],[Minutes_Played]]&gt;0,Performance_Data[[#This Row],[Assists]]*90/Performance_Data[[#This Row],[Minutes_Played]], 0)</f>
        <v>2.4657534246575343</v>
      </c>
      <c r="R192" s="5">
        <f>IF(Performance_Data[[#This Row],[Key_Passes]]&gt;0,Performance_Data[[#This Row],[Key_Passes]]*90/Performance_Data[[#This Row],[Minutes_Played]],0)</f>
        <v>4.9315068493150687</v>
      </c>
      <c r="S192" s="5">
        <f>IF(Performance_Data[[#This Row],[Shots]]&gt;0,Performance_Data[[#This Row],[Shots]]*90/Performance_Data[[#This Row],[Minutes_Played]],0)</f>
        <v>0</v>
      </c>
      <c r="T192" s="6">
        <f>IF(Performance_Data[[#This Row],[Successful_Dribbles]]&gt;0,Performance_Data[[#This Row],[Successful_Dribbles]]*90/Performance_Data[[#This Row],[Minutes_Played]],0)</f>
        <v>6.1643835616438354</v>
      </c>
      <c r="U192" s="5">
        <f>IF(Performance_Data[[#This Row],[Duels_Won]]&gt;0,Performance_Data[[#This Row],[Duels_Won]]*90/Performance_Data[[#This Row],[Minutes_Played]],0)</f>
        <v>11.095890410958905</v>
      </c>
      <c r="V192" s="5">
        <f t="shared" si="36"/>
        <v>1.292884039563702</v>
      </c>
      <c r="W192" s="5">
        <f t="shared" si="37"/>
        <v>2.0101376098293207</v>
      </c>
      <c r="X192" s="5">
        <f t="shared" si="38"/>
        <v>2.5310875225600555</v>
      </c>
      <c r="Y192" s="5">
        <f t="shared" si="39"/>
        <v>1.8844087942064758</v>
      </c>
      <c r="Z192" s="5">
        <f t="shared" si="40"/>
        <v>6.1818312395510819</v>
      </c>
      <c r="AA192" s="5">
        <f t="shared" si="41"/>
        <v>7.5582396976343915</v>
      </c>
    </row>
    <row r="193" spans="1:27" x14ac:dyDescent="0.3">
      <c r="A193" s="3" t="s">
        <v>236</v>
      </c>
      <c r="B193" s="9" t="s">
        <v>37</v>
      </c>
      <c r="C193" s="3" t="s">
        <v>38</v>
      </c>
      <c r="D193">
        <v>22</v>
      </c>
      <c r="E193" s="3" t="s">
        <v>20</v>
      </c>
      <c r="F193" s="8">
        <v>45849</v>
      </c>
      <c r="G193">
        <v>77</v>
      </c>
      <c r="H193">
        <v>2</v>
      </c>
      <c r="I193">
        <v>0</v>
      </c>
      <c r="J193">
        <v>1</v>
      </c>
      <c r="K193">
        <v>5</v>
      </c>
      <c r="L193">
        <v>3</v>
      </c>
      <c r="M193">
        <v>6</v>
      </c>
      <c r="N193">
        <v>86</v>
      </c>
      <c r="O193">
        <v>9</v>
      </c>
      <c r="P193" s="5">
        <f t="shared" si="35"/>
        <v>2.3376623376623376</v>
      </c>
      <c r="Q193" s="5">
        <f>IF(Performance_Data[[#This Row],[Minutes_Played]]&gt;0,Performance_Data[[#This Row],[Assists]]*90/Performance_Data[[#This Row],[Minutes_Played]], 0)</f>
        <v>0</v>
      </c>
      <c r="R193" s="5">
        <f>IF(Performance_Data[[#This Row],[Key_Passes]]&gt;0,Performance_Data[[#This Row],[Key_Passes]]*90/Performance_Data[[#This Row],[Minutes_Played]],0)</f>
        <v>1.1688311688311688</v>
      </c>
      <c r="S193" s="5">
        <f>IF(Performance_Data[[#This Row],[Shots]]&gt;0,Performance_Data[[#This Row],[Shots]]*90/Performance_Data[[#This Row],[Minutes_Played]],0)</f>
        <v>5.8441558441558445</v>
      </c>
      <c r="T193" s="6">
        <f>IF(Performance_Data[[#This Row],[Successful_Dribbles]]&gt;0,Performance_Data[[#This Row],[Successful_Dribbles]]*90/Performance_Data[[#This Row],[Minutes_Played]],0)</f>
        <v>3.5064935064935066</v>
      </c>
      <c r="U193" s="5">
        <f>IF(Performance_Data[[#This Row],[Duels_Won]]&gt;0,Performance_Data[[#This Row],[Duels_Won]]*90/Performance_Data[[#This Row],[Minutes_Played]],0)</f>
        <v>7.0129870129870131</v>
      </c>
      <c r="V193" s="5">
        <f t="shared" si="36"/>
        <v>1.7604165070961695</v>
      </c>
      <c r="W193" s="5">
        <f t="shared" si="37"/>
        <v>1.7529947526864631</v>
      </c>
      <c r="X193" s="5">
        <f t="shared" si="38"/>
        <v>1.9934251848977176</v>
      </c>
      <c r="Y193" s="5">
        <f t="shared" si="39"/>
        <v>2.281811391609073</v>
      </c>
      <c r="Z193" s="5">
        <f t="shared" si="40"/>
        <v>6.3688442265640699</v>
      </c>
      <c r="AA193" s="5">
        <f t="shared" si="41"/>
        <v>8.4465513859460799</v>
      </c>
    </row>
    <row r="194" spans="1:27" x14ac:dyDescent="0.3">
      <c r="A194" s="3" t="s">
        <v>237</v>
      </c>
      <c r="B194" s="9" t="s">
        <v>37</v>
      </c>
      <c r="C194" s="3" t="s">
        <v>38</v>
      </c>
      <c r="D194">
        <v>22</v>
      </c>
      <c r="E194" s="3" t="s">
        <v>20</v>
      </c>
      <c r="F194" s="8">
        <v>45850</v>
      </c>
      <c r="G194">
        <v>63</v>
      </c>
      <c r="H194">
        <v>0</v>
      </c>
      <c r="I194">
        <v>0</v>
      </c>
      <c r="J194">
        <v>0</v>
      </c>
      <c r="K194">
        <v>0</v>
      </c>
      <c r="L194">
        <v>8</v>
      </c>
      <c r="M194">
        <v>12</v>
      </c>
      <c r="N194">
        <v>84</v>
      </c>
      <c r="O194">
        <v>9.4</v>
      </c>
      <c r="P194" s="5">
        <f t="shared" ref="P194:P201" si="42">IF(G194&gt;0, H194*90/G194,0)</f>
        <v>0</v>
      </c>
      <c r="Q194" s="5">
        <f>IF(Performance_Data[[#This Row],[Minutes_Played]]&gt;0,Performance_Data[[#This Row],[Assists]]*90/Performance_Data[[#This Row],[Minutes_Played]], 0)</f>
        <v>0</v>
      </c>
      <c r="R194" s="5">
        <f>IF(Performance_Data[[#This Row],[Key_Passes]]&gt;0,Performance_Data[[#This Row],[Key_Passes]]*90/Performance_Data[[#This Row],[Minutes_Played]],0)</f>
        <v>0</v>
      </c>
      <c r="S194" s="5">
        <f>IF(Performance_Data[[#This Row],[Shots]]&gt;0,Performance_Data[[#This Row],[Shots]]*90/Performance_Data[[#This Row],[Minutes_Played]],0)</f>
        <v>0</v>
      </c>
      <c r="T194" s="6">
        <f>IF(Performance_Data[[#This Row],[Successful_Dribbles]]&gt;0,Performance_Data[[#This Row],[Successful_Dribbles]]*90/Performance_Data[[#This Row],[Minutes_Played]],0)</f>
        <v>11.428571428571429</v>
      </c>
      <c r="U194" s="5">
        <f>IF(Performance_Data[[#This Row],[Duels_Won]]&gt;0,Performance_Data[[#This Row],[Duels_Won]]*90/Performance_Data[[#This Row],[Minutes_Played]],0)</f>
        <v>17.142857142857142</v>
      </c>
      <c r="V194" s="5">
        <f t="shared" si="36"/>
        <v>1.5171732638529263</v>
      </c>
      <c r="W194" s="5">
        <f t="shared" si="37"/>
        <v>1.2665082661999769</v>
      </c>
      <c r="X194" s="5">
        <f t="shared" si="38"/>
        <v>1.9934251848977176</v>
      </c>
      <c r="Y194" s="5">
        <f t="shared" si="39"/>
        <v>2.281811391609073</v>
      </c>
      <c r="Z194" s="5">
        <f t="shared" si="40"/>
        <v>7.6815855393053827</v>
      </c>
      <c r="AA194" s="5">
        <f t="shared" si="41"/>
        <v>10.172420111814807</v>
      </c>
    </row>
    <row r="195" spans="1:27" x14ac:dyDescent="0.3">
      <c r="A195" s="3" t="s">
        <v>238</v>
      </c>
      <c r="B195" s="9" t="s">
        <v>37</v>
      </c>
      <c r="C195" s="3" t="s">
        <v>38</v>
      </c>
      <c r="D195">
        <v>22</v>
      </c>
      <c r="E195" s="3" t="s">
        <v>20</v>
      </c>
      <c r="F195" s="8">
        <v>45851</v>
      </c>
      <c r="G195">
        <v>43</v>
      </c>
      <c r="H195">
        <v>1</v>
      </c>
      <c r="I195">
        <v>2</v>
      </c>
      <c r="J195">
        <v>1</v>
      </c>
      <c r="K195">
        <v>6</v>
      </c>
      <c r="L195">
        <v>4</v>
      </c>
      <c r="M195">
        <v>10</v>
      </c>
      <c r="N195">
        <v>70</v>
      </c>
      <c r="O195">
        <v>9</v>
      </c>
      <c r="P195" s="5">
        <f t="shared" si="42"/>
        <v>2.0930232558139537</v>
      </c>
      <c r="Q195" s="5">
        <f>IF(Performance_Data[[#This Row],[Minutes_Played]]&gt;0,Performance_Data[[#This Row],[Assists]]*90/Performance_Data[[#This Row],[Minutes_Played]], 0)</f>
        <v>4.1860465116279073</v>
      </c>
      <c r="R195" s="5">
        <f>IF(Performance_Data[[#This Row],[Key_Passes]]&gt;0,Performance_Data[[#This Row],[Key_Passes]]*90/Performance_Data[[#This Row],[Minutes_Played]],0)</f>
        <v>2.0930232558139537</v>
      </c>
      <c r="S195" s="5">
        <f>IF(Performance_Data[[#This Row],[Shots]]&gt;0,Performance_Data[[#This Row],[Shots]]*90/Performance_Data[[#This Row],[Minutes_Played]],0)</f>
        <v>12.55813953488372</v>
      </c>
      <c r="T195" s="6">
        <f>IF(Performance_Data[[#This Row],[Successful_Dribbles]]&gt;0,Performance_Data[[#This Row],[Successful_Dribbles]]*90/Performance_Data[[#This Row],[Minutes_Played]],0)</f>
        <v>8.3720930232558146</v>
      </c>
      <c r="U195" s="5">
        <f>IF(Performance_Data[[#This Row],[Duels_Won]]&gt;0,Performance_Data[[#This Row],[Duels_Won]]*90/Performance_Data[[#This Row],[Minutes_Played]],0)</f>
        <v>20.930232558139537</v>
      </c>
      <c r="V195" s="5">
        <f t="shared" si="36"/>
        <v>1.5961552735062832</v>
      </c>
      <c r="W195" s="5">
        <f t="shared" si="37"/>
        <v>1.7640949270161244</v>
      </c>
      <c r="X195" s="5">
        <f t="shared" si="38"/>
        <v>2.0724071945510745</v>
      </c>
      <c r="Y195" s="5">
        <f t="shared" si="39"/>
        <v>4.114194015566949</v>
      </c>
      <c r="Z195" s="5">
        <f t="shared" si="40"/>
        <v>6.9786456533905064</v>
      </c>
      <c r="AA195" s="5">
        <f t="shared" si="41"/>
        <v>12.32073077438611</v>
      </c>
    </row>
    <row r="196" spans="1:27" x14ac:dyDescent="0.3">
      <c r="A196" s="3" t="s">
        <v>239</v>
      </c>
      <c r="B196" s="9" t="s">
        <v>37</v>
      </c>
      <c r="C196" s="3" t="s">
        <v>38</v>
      </c>
      <c r="D196">
        <v>22</v>
      </c>
      <c r="E196" s="3" t="s">
        <v>20</v>
      </c>
      <c r="F196" s="8">
        <v>45852</v>
      </c>
      <c r="G196">
        <v>44</v>
      </c>
      <c r="H196">
        <v>2</v>
      </c>
      <c r="I196">
        <v>2</v>
      </c>
      <c r="J196">
        <v>6</v>
      </c>
      <c r="K196">
        <v>4</v>
      </c>
      <c r="L196">
        <v>2</v>
      </c>
      <c r="M196">
        <v>9</v>
      </c>
      <c r="N196">
        <v>69</v>
      </c>
      <c r="O196">
        <v>8.1</v>
      </c>
      <c r="P196" s="5">
        <f t="shared" si="42"/>
        <v>4.0909090909090908</v>
      </c>
      <c r="Q196" s="5">
        <f>IF(Performance_Data[[#This Row],[Minutes_Played]]&gt;0,Performance_Data[[#This Row],[Assists]]*90/Performance_Data[[#This Row],[Minutes_Played]], 0)</f>
        <v>4.0909090909090908</v>
      </c>
      <c r="R196" s="5">
        <f>IF(Performance_Data[[#This Row],[Key_Passes]]&gt;0,Performance_Data[[#This Row],[Key_Passes]]*90/Performance_Data[[#This Row],[Minutes_Played]],0)</f>
        <v>12.272727272727273</v>
      </c>
      <c r="S196" s="5">
        <f>IF(Performance_Data[[#This Row],[Shots]]&gt;0,Performance_Data[[#This Row],[Shots]]*90/Performance_Data[[#This Row],[Minutes_Played]],0)</f>
        <v>8.1818181818181817</v>
      </c>
      <c r="T196" s="6">
        <f>IF(Performance_Data[[#This Row],[Successful_Dribbles]]&gt;0,Performance_Data[[#This Row],[Successful_Dribbles]]*90/Performance_Data[[#This Row],[Minutes_Played]],0)</f>
        <v>4.0909090909090908</v>
      </c>
      <c r="U196" s="5">
        <f>IF(Performance_Data[[#This Row],[Duels_Won]]&gt;0,Performance_Data[[#This Row],[Duels_Won]]*90/Performance_Data[[#This Row],[Minutes_Played]],0)</f>
        <v>18.40909090909091</v>
      </c>
      <c r="V196" s="5">
        <f t="shared" si="36"/>
        <v>2.1974696218085832</v>
      </c>
      <c r="W196" s="5">
        <f t="shared" si="37"/>
        <v>2.1485418054389065</v>
      </c>
      <c r="X196" s="5">
        <f t="shared" si="38"/>
        <v>4.0932177093374928</v>
      </c>
      <c r="Y196" s="5">
        <f t="shared" si="39"/>
        <v>5.3168227121715486</v>
      </c>
      <c r="Z196" s="5">
        <f t="shared" si="40"/>
        <v>6.7124901221747351</v>
      </c>
      <c r="AA196" s="5">
        <f t="shared" si="41"/>
        <v>14.918211606806702</v>
      </c>
    </row>
    <row r="197" spans="1:27" x14ac:dyDescent="0.3">
      <c r="A197" s="3" t="s">
        <v>240</v>
      </c>
      <c r="B197" s="9" t="s">
        <v>37</v>
      </c>
      <c r="C197" s="3" t="s">
        <v>38</v>
      </c>
      <c r="D197">
        <v>22</v>
      </c>
      <c r="E197" s="3" t="s">
        <v>20</v>
      </c>
      <c r="F197" s="8">
        <v>45853</v>
      </c>
      <c r="G197">
        <v>38</v>
      </c>
      <c r="H197">
        <v>2</v>
      </c>
      <c r="I197">
        <v>2</v>
      </c>
      <c r="J197">
        <v>1</v>
      </c>
      <c r="K197">
        <v>5</v>
      </c>
      <c r="L197">
        <v>7</v>
      </c>
      <c r="M197">
        <v>12</v>
      </c>
      <c r="N197">
        <v>84</v>
      </c>
      <c r="O197">
        <v>10.1</v>
      </c>
      <c r="P197" s="5">
        <f t="shared" si="42"/>
        <v>4.7368421052631575</v>
      </c>
      <c r="Q197" s="5">
        <f>IF(Performance_Data[[#This Row],[Minutes_Played]]&gt;0,Performance_Data[[#This Row],[Assists]]*90/Performance_Data[[#This Row],[Minutes_Played]], 0)</f>
        <v>4.7368421052631575</v>
      </c>
      <c r="R197" s="5">
        <f>IF(Performance_Data[[#This Row],[Key_Passes]]&gt;0,Performance_Data[[#This Row],[Key_Passes]]*90/Performance_Data[[#This Row],[Minutes_Played]],0)</f>
        <v>2.3684210526315788</v>
      </c>
      <c r="S197" s="5">
        <f>IF(Performance_Data[[#This Row],[Shots]]&gt;0,Performance_Data[[#This Row],[Shots]]*90/Performance_Data[[#This Row],[Minutes_Played]],0)</f>
        <v>11.842105263157896</v>
      </c>
      <c r="T197" s="6">
        <f>IF(Performance_Data[[#This Row],[Successful_Dribbles]]&gt;0,Performance_Data[[#This Row],[Successful_Dribbles]]*90/Performance_Data[[#This Row],[Minutes_Played]],0)</f>
        <v>16.578947368421051</v>
      </c>
      <c r="U197" s="5">
        <f>IF(Performance_Data[[#This Row],[Duels_Won]]&gt;0,Performance_Data[[#This Row],[Duels_Won]]*90/Performance_Data[[#This Row],[Minutes_Played]],0)</f>
        <v>28.421052631578949</v>
      </c>
      <c r="V197" s="5">
        <f t="shared" si="36"/>
        <v>2.6516873579297076</v>
      </c>
      <c r="W197" s="5">
        <f t="shared" si="37"/>
        <v>2.6027595415600309</v>
      </c>
      <c r="X197" s="5">
        <f t="shared" si="38"/>
        <v>3.5806005500007947</v>
      </c>
      <c r="Y197" s="5">
        <f t="shared" si="39"/>
        <v>7.6852437648031282</v>
      </c>
      <c r="Z197" s="5">
        <f t="shared" si="40"/>
        <v>8.7954028835301781</v>
      </c>
      <c r="AA197" s="5">
        <f t="shared" si="41"/>
        <v>18.38324405093071</v>
      </c>
    </row>
    <row r="198" spans="1:27" x14ac:dyDescent="0.3">
      <c r="A198" s="3" t="s">
        <v>241</v>
      </c>
      <c r="B198" s="9" t="s">
        <v>37</v>
      </c>
      <c r="C198" s="3" t="s">
        <v>38</v>
      </c>
      <c r="D198">
        <v>22</v>
      </c>
      <c r="E198" s="3" t="s">
        <v>20</v>
      </c>
      <c r="F198" s="8">
        <v>45854</v>
      </c>
      <c r="G198">
        <v>42</v>
      </c>
      <c r="H198">
        <v>2</v>
      </c>
      <c r="I198">
        <v>0</v>
      </c>
      <c r="J198">
        <v>1</v>
      </c>
      <c r="K198">
        <v>2</v>
      </c>
      <c r="L198">
        <v>5</v>
      </c>
      <c r="M198">
        <v>2</v>
      </c>
      <c r="N198">
        <v>67</v>
      </c>
      <c r="O198">
        <v>10.5</v>
      </c>
      <c r="P198" s="5">
        <f t="shared" si="42"/>
        <v>4.2857142857142856</v>
      </c>
      <c r="Q198" s="5">
        <f>IF(Performance_Data[[#This Row],[Minutes_Played]]&gt;0,Performance_Data[[#This Row],[Assists]]*90/Performance_Data[[#This Row],[Minutes_Played]], 0)</f>
        <v>0</v>
      </c>
      <c r="R198" s="5">
        <f>IF(Performance_Data[[#This Row],[Key_Passes]]&gt;0,Performance_Data[[#This Row],[Key_Passes]]*90/Performance_Data[[#This Row],[Minutes_Played]],0)</f>
        <v>2.1428571428571428</v>
      </c>
      <c r="S198" s="5">
        <f>IF(Performance_Data[[#This Row],[Shots]]&gt;0,Performance_Data[[#This Row],[Shots]]*90/Performance_Data[[#This Row],[Minutes_Played]],0)</f>
        <v>4.2857142857142856</v>
      </c>
      <c r="T198" s="6">
        <f>IF(Performance_Data[[#This Row],[Successful_Dribbles]]&gt;0,Performance_Data[[#This Row],[Successful_Dribbles]]*90/Performance_Data[[#This Row],[Minutes_Played]],0)</f>
        <v>10.714285714285714</v>
      </c>
      <c r="U198" s="5">
        <f>IF(Performance_Data[[#This Row],[Duels_Won]]&gt;0,Performance_Data[[#This Row],[Duels_Won]]*90/Performance_Data[[#This Row],[Minutes_Played]],0)</f>
        <v>4.2857142857142856</v>
      </c>
      <c r="V198" s="5">
        <f t="shared" ref="V198:V201" si="43">IF(COUNTIF(B194:B198,B198)=5, AVERAGE(P194:P198), "")</f>
        <v>3.0412977475400971</v>
      </c>
      <c r="W198" s="5">
        <f t="shared" ref="W198:W201" si="44">IF(COUNTIF(B194:B198,B198)=5, AVERAGE(Q194:Q198), "")</f>
        <v>2.6027595415600309</v>
      </c>
      <c r="X198" s="5">
        <f t="shared" ref="X198:X201" si="45">IF(COUNTIF(B194:B198,B198)=5, AVERAGE(R194:R198), "")</f>
        <v>3.7754057448059894</v>
      </c>
      <c r="Y198" s="5">
        <f t="shared" ref="Y198:Y201" si="46">IF(COUNTIF(B194:B198,B198)=5, AVERAGE(S194:S198), "")</f>
        <v>7.3735554531148164</v>
      </c>
      <c r="Z198" s="5">
        <f t="shared" ref="Z198:Z201" si="47">IF(COUNTIF(B194:B198,B198)=5,AVERAGE(T194:T198),"")</f>
        <v>10.23696132508862</v>
      </c>
      <c r="AA198" s="5">
        <f t="shared" ref="AA198:AA201" si="48">IF(COUNTIF(B194:B198,B198)=5,AVERAGE(U194:U198),"")</f>
        <v>17.837789505476163</v>
      </c>
    </row>
    <row r="199" spans="1:27" x14ac:dyDescent="0.3">
      <c r="A199" s="3" t="s">
        <v>242</v>
      </c>
      <c r="B199" s="9" t="s">
        <v>37</v>
      </c>
      <c r="C199" s="3" t="s">
        <v>38</v>
      </c>
      <c r="D199">
        <v>22</v>
      </c>
      <c r="E199" s="3" t="s">
        <v>20</v>
      </c>
      <c r="F199" s="8">
        <v>45855</v>
      </c>
      <c r="G199">
        <v>42</v>
      </c>
      <c r="H199">
        <v>0</v>
      </c>
      <c r="I199">
        <v>1</v>
      </c>
      <c r="J199">
        <v>1</v>
      </c>
      <c r="K199">
        <v>2</v>
      </c>
      <c r="L199">
        <v>2</v>
      </c>
      <c r="M199">
        <v>2</v>
      </c>
      <c r="N199">
        <v>83</v>
      </c>
      <c r="O199">
        <v>11.4</v>
      </c>
      <c r="P199" s="5">
        <f t="shared" si="42"/>
        <v>0</v>
      </c>
      <c r="Q199" s="5">
        <f>IF(Performance_Data[[#This Row],[Minutes_Played]]&gt;0,Performance_Data[[#This Row],[Assists]]*90/Performance_Data[[#This Row],[Minutes_Played]], 0)</f>
        <v>2.1428571428571428</v>
      </c>
      <c r="R199" s="5">
        <f>IF(Performance_Data[[#This Row],[Key_Passes]]&gt;0,Performance_Data[[#This Row],[Key_Passes]]*90/Performance_Data[[#This Row],[Minutes_Played]],0)</f>
        <v>2.1428571428571428</v>
      </c>
      <c r="S199" s="5">
        <f>IF(Performance_Data[[#This Row],[Shots]]&gt;0,Performance_Data[[#This Row],[Shots]]*90/Performance_Data[[#This Row],[Minutes_Played]],0)</f>
        <v>4.2857142857142856</v>
      </c>
      <c r="T199" s="6">
        <f>IF(Performance_Data[[#This Row],[Successful_Dribbles]]&gt;0,Performance_Data[[#This Row],[Successful_Dribbles]]*90/Performance_Data[[#This Row],[Minutes_Played]],0)</f>
        <v>4.2857142857142856</v>
      </c>
      <c r="U199" s="5">
        <f>IF(Performance_Data[[#This Row],[Duels_Won]]&gt;0,Performance_Data[[#This Row],[Duels_Won]]*90/Performance_Data[[#This Row],[Minutes_Played]],0)</f>
        <v>4.2857142857142856</v>
      </c>
      <c r="V199" s="5">
        <f t="shared" si="43"/>
        <v>3.0412977475400971</v>
      </c>
      <c r="W199" s="5">
        <f t="shared" si="44"/>
        <v>3.0313309701314592</v>
      </c>
      <c r="X199" s="5">
        <f t="shared" si="45"/>
        <v>4.2039771733774183</v>
      </c>
      <c r="Y199" s="5">
        <f t="shared" si="46"/>
        <v>8.2306983102576741</v>
      </c>
      <c r="Z199" s="5">
        <f t="shared" si="47"/>
        <v>8.8083898965171912</v>
      </c>
      <c r="AA199" s="5">
        <f t="shared" si="48"/>
        <v>15.266360934047594</v>
      </c>
    </row>
    <row r="200" spans="1:27" x14ac:dyDescent="0.3">
      <c r="A200" s="3" t="s">
        <v>243</v>
      </c>
      <c r="B200" s="9" t="s">
        <v>37</v>
      </c>
      <c r="C200" s="3" t="s">
        <v>38</v>
      </c>
      <c r="D200">
        <v>22</v>
      </c>
      <c r="E200" s="3" t="s">
        <v>20</v>
      </c>
      <c r="F200" s="8">
        <v>45856</v>
      </c>
      <c r="G200">
        <v>74</v>
      </c>
      <c r="H200">
        <v>1</v>
      </c>
      <c r="I200">
        <v>1</v>
      </c>
      <c r="J200">
        <v>2</v>
      </c>
      <c r="K200">
        <v>3</v>
      </c>
      <c r="L200">
        <v>8</v>
      </c>
      <c r="M200">
        <v>1</v>
      </c>
      <c r="N200">
        <v>78</v>
      </c>
      <c r="O200">
        <v>11.5</v>
      </c>
      <c r="P200" s="5">
        <f t="shared" si="42"/>
        <v>1.2162162162162162</v>
      </c>
      <c r="Q200" s="5">
        <f>IF(Performance_Data[[#This Row],[Minutes_Played]]&gt;0,Performance_Data[[#This Row],[Assists]]*90/Performance_Data[[#This Row],[Minutes_Played]], 0)</f>
        <v>1.2162162162162162</v>
      </c>
      <c r="R200" s="5">
        <f>IF(Performance_Data[[#This Row],[Key_Passes]]&gt;0,Performance_Data[[#This Row],[Key_Passes]]*90/Performance_Data[[#This Row],[Minutes_Played]],0)</f>
        <v>2.4324324324324325</v>
      </c>
      <c r="S200" s="5">
        <f>IF(Performance_Data[[#This Row],[Shots]]&gt;0,Performance_Data[[#This Row],[Shots]]*90/Performance_Data[[#This Row],[Minutes_Played]],0)</f>
        <v>3.6486486486486487</v>
      </c>
      <c r="T200" s="6">
        <f>IF(Performance_Data[[#This Row],[Successful_Dribbles]]&gt;0,Performance_Data[[#This Row],[Successful_Dribbles]]*90/Performance_Data[[#This Row],[Minutes_Played]],0)</f>
        <v>9.7297297297297298</v>
      </c>
      <c r="U200" s="5">
        <f>IF(Performance_Data[[#This Row],[Duels_Won]]&gt;0,Performance_Data[[#This Row],[Duels_Won]]*90/Performance_Data[[#This Row],[Minutes_Played]],0)</f>
        <v>1.2162162162162162</v>
      </c>
      <c r="V200" s="5">
        <f t="shared" si="43"/>
        <v>2.8659363396205495</v>
      </c>
      <c r="W200" s="5">
        <f t="shared" si="44"/>
        <v>2.4373649110491211</v>
      </c>
      <c r="X200" s="5">
        <f t="shared" si="45"/>
        <v>4.2718590087011137</v>
      </c>
      <c r="Y200" s="5">
        <f t="shared" si="46"/>
        <v>6.4488001330106588</v>
      </c>
      <c r="Z200" s="5">
        <f t="shared" si="47"/>
        <v>9.0799172378119746</v>
      </c>
      <c r="AA200" s="5">
        <f t="shared" si="48"/>
        <v>11.323557665662928</v>
      </c>
    </row>
    <row r="201" spans="1:27" x14ac:dyDescent="0.3">
      <c r="A201" s="3" t="s">
        <v>244</v>
      </c>
      <c r="B201" s="9" t="s">
        <v>37</v>
      </c>
      <c r="C201" s="3" t="s">
        <v>38</v>
      </c>
      <c r="D201">
        <v>22</v>
      </c>
      <c r="E201" s="3" t="s">
        <v>20</v>
      </c>
      <c r="F201" s="8">
        <v>45857</v>
      </c>
      <c r="G201">
        <v>48</v>
      </c>
      <c r="H201">
        <v>1</v>
      </c>
      <c r="I201">
        <v>0</v>
      </c>
      <c r="J201">
        <v>5</v>
      </c>
      <c r="K201">
        <v>6</v>
      </c>
      <c r="L201">
        <v>8</v>
      </c>
      <c r="M201">
        <v>3</v>
      </c>
      <c r="N201">
        <v>87</v>
      </c>
      <c r="O201">
        <v>11.9</v>
      </c>
      <c r="P201" s="5">
        <f t="shared" si="42"/>
        <v>1.875</v>
      </c>
      <c r="Q201" s="5">
        <f>IF(Performance_Data[[#This Row],[Minutes_Played]]&gt;0,Performance_Data[[#This Row],[Assists]]*90/Performance_Data[[#This Row],[Minutes_Played]], 0)</f>
        <v>0</v>
      </c>
      <c r="R201" s="5">
        <f>IF(Performance_Data[[#This Row],[Key_Passes]]&gt;0,Performance_Data[[#This Row],[Key_Passes]]*90/Performance_Data[[#This Row],[Minutes_Played]],0)</f>
        <v>9.375</v>
      </c>
      <c r="S201" s="5">
        <f>IF(Performance_Data[[#This Row],[Shots]]&gt;0,Performance_Data[[#This Row],[Shots]]*90/Performance_Data[[#This Row],[Minutes_Played]],0)</f>
        <v>11.25</v>
      </c>
      <c r="T201" s="6">
        <f>IF(Performance_Data[[#This Row],[Successful_Dribbles]]&gt;0,Performance_Data[[#This Row],[Successful_Dribbles]]*90/Performance_Data[[#This Row],[Minutes_Played]],0)</f>
        <v>15</v>
      </c>
      <c r="U201" s="5">
        <f>IF(Performance_Data[[#This Row],[Duels_Won]]&gt;0,Performance_Data[[#This Row],[Duels_Won]]*90/Performance_Data[[#This Row],[Minutes_Played]],0)</f>
        <v>5.625</v>
      </c>
      <c r="V201" s="5">
        <f t="shared" si="43"/>
        <v>2.4227545214387316</v>
      </c>
      <c r="W201" s="5">
        <f t="shared" si="44"/>
        <v>1.6191830928673032</v>
      </c>
      <c r="X201" s="5">
        <f t="shared" si="45"/>
        <v>3.6923135541556591</v>
      </c>
      <c r="Y201" s="5">
        <f t="shared" si="46"/>
        <v>7.0624364966470239</v>
      </c>
      <c r="Z201" s="5">
        <f t="shared" si="47"/>
        <v>11.261735419630156</v>
      </c>
      <c r="AA201" s="5">
        <f t="shared" si="48"/>
        <v>8.7667394838447485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A8C2-CE56-4656-9BC4-81912140C54D}">
  <dimension ref="A1:D11"/>
  <sheetViews>
    <sheetView workbookViewId="0">
      <selection activeCell="E19" sqref="E19"/>
    </sheetView>
  </sheetViews>
  <sheetFormatPr defaultRowHeight="14.4" x14ac:dyDescent="0.3"/>
  <cols>
    <col min="1" max="1" width="13.44140625" bestFit="1" customWidth="1"/>
    <col min="2" max="2" width="16.6640625" bestFit="1" customWidth="1"/>
    <col min="3" max="3" width="12.21875" bestFit="1" customWidth="1"/>
    <col min="4" max="4" width="8.6640625" bestFit="1" customWidth="1"/>
  </cols>
  <sheetData>
    <row r="1" spans="1:4" x14ac:dyDescent="0.3">
      <c r="A1" s="1" t="s">
        <v>1</v>
      </c>
      <c r="B1" s="1" t="s">
        <v>2</v>
      </c>
      <c r="C1" s="1" t="s">
        <v>4</v>
      </c>
      <c r="D1" s="1" t="s">
        <v>3</v>
      </c>
    </row>
    <row r="2" spans="1:4" x14ac:dyDescent="0.3">
      <c r="A2" s="2" t="s">
        <v>15</v>
      </c>
      <c r="B2" s="2" t="s">
        <v>16</v>
      </c>
      <c r="C2" s="2" t="s">
        <v>17</v>
      </c>
      <c r="D2" s="2">
        <v>19</v>
      </c>
    </row>
    <row r="3" spans="1:4" x14ac:dyDescent="0.3">
      <c r="A3" s="2" t="s">
        <v>18</v>
      </c>
      <c r="B3" s="2" t="s">
        <v>19</v>
      </c>
      <c r="C3" s="2" t="s">
        <v>20</v>
      </c>
      <c r="D3" s="2">
        <v>20</v>
      </c>
    </row>
    <row r="4" spans="1:4" x14ac:dyDescent="0.3">
      <c r="A4" s="2" t="s">
        <v>21</v>
      </c>
      <c r="B4" s="2" t="s">
        <v>22</v>
      </c>
      <c r="C4" s="2" t="s">
        <v>23</v>
      </c>
      <c r="D4" s="2">
        <v>21</v>
      </c>
    </row>
    <row r="5" spans="1:4" x14ac:dyDescent="0.3">
      <c r="A5" s="2" t="s">
        <v>24</v>
      </c>
      <c r="B5" s="2" t="s">
        <v>25</v>
      </c>
      <c r="C5" s="2" t="s">
        <v>26</v>
      </c>
      <c r="D5" s="2">
        <v>18</v>
      </c>
    </row>
    <row r="6" spans="1:4" x14ac:dyDescent="0.3">
      <c r="A6" s="2" t="s">
        <v>27</v>
      </c>
      <c r="B6" s="2" t="s">
        <v>28</v>
      </c>
      <c r="C6" s="2" t="s">
        <v>17</v>
      </c>
      <c r="D6" s="2">
        <v>22</v>
      </c>
    </row>
    <row r="7" spans="1:4" x14ac:dyDescent="0.3">
      <c r="A7" s="2" t="s">
        <v>29</v>
      </c>
      <c r="B7" s="2" t="s">
        <v>30</v>
      </c>
      <c r="C7" s="2" t="s">
        <v>20</v>
      </c>
      <c r="D7" s="2">
        <v>23</v>
      </c>
    </row>
    <row r="8" spans="1:4" x14ac:dyDescent="0.3">
      <c r="A8" s="2" t="s">
        <v>31</v>
      </c>
      <c r="B8" s="2" t="s">
        <v>32</v>
      </c>
      <c r="C8" s="2" t="s">
        <v>23</v>
      </c>
      <c r="D8" s="2">
        <v>20</v>
      </c>
    </row>
    <row r="9" spans="1:4" x14ac:dyDescent="0.3">
      <c r="A9" s="2" t="s">
        <v>33</v>
      </c>
      <c r="B9" s="2" t="s">
        <v>34</v>
      </c>
      <c r="C9" s="2" t="s">
        <v>26</v>
      </c>
      <c r="D9" s="2">
        <v>19</v>
      </c>
    </row>
    <row r="10" spans="1:4" x14ac:dyDescent="0.3">
      <c r="A10" s="2" t="s">
        <v>35</v>
      </c>
      <c r="B10" s="2" t="s">
        <v>36</v>
      </c>
      <c r="C10" s="2" t="s">
        <v>17</v>
      </c>
      <c r="D10" s="2">
        <v>21</v>
      </c>
    </row>
    <row r="11" spans="1:4" x14ac:dyDescent="0.3">
      <c r="A11" s="2" t="s">
        <v>37</v>
      </c>
      <c r="B11" s="2" t="s">
        <v>38</v>
      </c>
      <c r="C11" s="2" t="s">
        <v>20</v>
      </c>
      <c r="D11" s="2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4763-3DE7-4CF3-B97B-62F67E09A553}">
  <dimension ref="A1:AO24"/>
  <sheetViews>
    <sheetView showGridLines="0" zoomScale="70" zoomScaleNormal="70" workbookViewId="0">
      <selection activeCell="C31" sqref="C31"/>
    </sheetView>
  </sheetViews>
  <sheetFormatPr defaultRowHeight="14.4" x14ac:dyDescent="0.3"/>
  <cols>
    <col min="1" max="1" width="15.21875" bestFit="1" customWidth="1"/>
    <col min="2" max="2" width="19.44140625" bestFit="1" customWidth="1"/>
    <col min="3" max="3" width="20.88671875" bestFit="1" customWidth="1"/>
  </cols>
  <sheetData>
    <row r="1" spans="1:41" ht="18" x14ac:dyDescent="0.35">
      <c r="A1" s="16" t="s">
        <v>251</v>
      </c>
      <c r="B1" s="18" t="s">
        <v>15</v>
      </c>
      <c r="C1" s="11"/>
    </row>
    <row r="2" spans="1:41" ht="18" x14ac:dyDescent="0.35">
      <c r="A2" s="15"/>
      <c r="B2" s="15"/>
      <c r="C2" s="15"/>
    </row>
    <row r="3" spans="1:41" ht="18" x14ac:dyDescent="0.35">
      <c r="A3" s="17" t="s">
        <v>5</v>
      </c>
      <c r="B3" s="17" t="s">
        <v>245</v>
      </c>
      <c r="C3" s="17" t="s">
        <v>246</v>
      </c>
    </row>
    <row r="4" spans="1:41" ht="18" x14ac:dyDescent="0.35">
      <c r="A4" s="12" cm="1">
        <f t="array" ref="A4:A23">IFERROR(
  _xlfn._xlws.FILTER(Performance_Data[Match_Date],
         Performance_Data[Player_ID]=$B$1),
"")</f>
        <v>45658</v>
      </c>
      <c r="B4" s="13" cm="1">
        <f t="array" ref="B4:B23">IFERROR(
  _xlfn._xlws.FILTER(Performance_Data[Goals90_Rolling5],
         Performance_Data[Player_ID]=$B$1),
"")</f>
        <v>0</v>
      </c>
      <c r="C4" s="11" cm="1">
        <f t="array" ref="C4:C23">IFERROR(
  _xlfn._xlws.FILTER(Performance_Data[Assists90_Rolling5],
         Performance_Data[Player_ID]=$B$1),
"")</f>
        <v>0</v>
      </c>
    </row>
    <row r="5" spans="1:41" ht="18" x14ac:dyDescent="0.35">
      <c r="A5" s="12">
        <v>45659</v>
      </c>
      <c r="B5" s="13">
        <v>0</v>
      </c>
      <c r="C5" s="11">
        <v>0</v>
      </c>
    </row>
    <row r="6" spans="1:41" ht="18" x14ac:dyDescent="0.35">
      <c r="A6" s="12">
        <v>45660</v>
      </c>
      <c r="B6" s="13">
        <v>0</v>
      </c>
      <c r="C6" s="11">
        <v>0</v>
      </c>
    </row>
    <row r="7" spans="1:41" ht="18" x14ac:dyDescent="0.35">
      <c r="A7" s="12">
        <v>45661</v>
      </c>
      <c r="B7" s="13">
        <v>0</v>
      </c>
      <c r="C7" s="11">
        <v>0</v>
      </c>
      <c r="AL7" s="10" t="s">
        <v>252</v>
      </c>
      <c r="AM7" s="10"/>
      <c r="AN7" s="10"/>
      <c r="AO7" s="10"/>
    </row>
    <row r="8" spans="1:41" ht="18" x14ac:dyDescent="0.35">
      <c r="A8" s="12">
        <v>45662</v>
      </c>
      <c r="B8" s="14">
        <v>2.8817610960468101</v>
      </c>
      <c r="C8" s="14">
        <v>1.5132367632367631</v>
      </c>
      <c r="AL8" s="10" t="str">
        <f>"Goals per 90 - Rolling 5 Match Average (" &amp; B1 &amp; ")"</f>
        <v>Goals per 90 - Rolling 5 Match Average (P01)</v>
      </c>
      <c r="AM8" s="10"/>
      <c r="AN8" s="10"/>
      <c r="AO8" s="10"/>
    </row>
    <row r="9" spans="1:41" ht="18" x14ac:dyDescent="0.35">
      <c r="A9" s="12">
        <v>45663</v>
      </c>
      <c r="B9" s="14">
        <v>1.7797202797202796</v>
      </c>
      <c r="C9" s="14">
        <v>2.0275224775224774</v>
      </c>
    </row>
    <row r="10" spans="1:41" ht="18" x14ac:dyDescent="0.35">
      <c r="A10" s="12">
        <v>45664</v>
      </c>
      <c r="B10" s="14">
        <v>1.5204290091930541</v>
      </c>
      <c r="C10" s="14">
        <v>1.7967532467532468</v>
      </c>
    </row>
    <row r="11" spans="1:41" ht="18" x14ac:dyDescent="0.35">
      <c r="A11" s="12">
        <v>45665</v>
      </c>
      <c r="B11" s="14">
        <v>0.702247191011236</v>
      </c>
      <c r="C11" s="14">
        <v>0.97857142857142843</v>
      </c>
    </row>
    <row r="12" spans="1:41" ht="18" x14ac:dyDescent="0.35">
      <c r="A12" s="12">
        <v>45666</v>
      </c>
      <c r="B12" s="14">
        <v>0.20224719101123595</v>
      </c>
      <c r="C12" s="14">
        <v>0.72857142857142865</v>
      </c>
    </row>
    <row r="13" spans="1:41" ht="18" x14ac:dyDescent="0.35">
      <c r="A13" s="12">
        <v>45667</v>
      </c>
      <c r="B13" s="14">
        <v>0.20224719101123595</v>
      </c>
      <c r="C13" s="14">
        <v>1.1349753694581282</v>
      </c>
    </row>
    <row r="14" spans="1:41" ht="18" x14ac:dyDescent="0.35">
      <c r="A14" s="12">
        <v>45668</v>
      </c>
      <c r="B14" s="14">
        <v>0.20224719101123595</v>
      </c>
      <c r="C14" s="14">
        <v>1.3553835327234343</v>
      </c>
    </row>
    <row r="15" spans="1:41" ht="18" x14ac:dyDescent="0.35">
      <c r="A15" s="12">
        <v>45669</v>
      </c>
      <c r="B15" s="14">
        <v>0.29032258064516131</v>
      </c>
      <c r="C15" s="14">
        <v>1.6457061133685955</v>
      </c>
    </row>
    <row r="16" spans="1:41" ht="18" x14ac:dyDescent="0.35">
      <c r="A16" s="12">
        <v>45670</v>
      </c>
      <c r="B16" s="14">
        <v>0.29032258064516131</v>
      </c>
      <c r="C16" s="14">
        <v>1.9407880805817102</v>
      </c>
    </row>
    <row r="17" spans="1:3" ht="18" x14ac:dyDescent="0.35">
      <c r="A17" s="12">
        <v>45671</v>
      </c>
      <c r="B17" s="14">
        <v>0.57157258064516125</v>
      </c>
      <c r="C17" s="14">
        <v>1.9407880805817102</v>
      </c>
    </row>
    <row r="18" spans="1:3" ht="18" x14ac:dyDescent="0.35">
      <c r="A18" s="12">
        <v>45672</v>
      </c>
      <c r="B18" s="14">
        <v>0.57157258064516125</v>
      </c>
      <c r="C18" s="14">
        <v>1.6874453641848066</v>
      </c>
    </row>
    <row r="19" spans="1:3" ht="18" x14ac:dyDescent="0.35">
      <c r="A19" s="12">
        <v>45673</v>
      </c>
      <c r="B19" s="14">
        <v>0.57157258064516125</v>
      </c>
      <c r="C19" s="14">
        <v>0.95275148663378617</v>
      </c>
    </row>
    <row r="20" spans="1:3" ht="18" x14ac:dyDescent="0.35">
      <c r="A20" s="12">
        <v>45674</v>
      </c>
      <c r="B20" s="14">
        <v>0.74878246753246747</v>
      </c>
      <c r="C20" s="14">
        <v>0.66242890598862503</v>
      </c>
    </row>
    <row r="21" spans="1:3" ht="18" x14ac:dyDescent="0.35">
      <c r="A21" s="12">
        <v>45675</v>
      </c>
      <c r="B21" s="14">
        <v>1.2487824675324675</v>
      </c>
      <c r="C21" s="14">
        <v>0.86734693877551017</v>
      </c>
    </row>
    <row r="22" spans="1:3" ht="18" x14ac:dyDescent="0.35">
      <c r="A22" s="12">
        <v>45676</v>
      </c>
      <c r="B22" s="14">
        <v>1.3425324675324675</v>
      </c>
      <c r="C22" s="14">
        <v>1.6173469387755102</v>
      </c>
    </row>
    <row r="23" spans="1:3" ht="18" x14ac:dyDescent="0.35">
      <c r="A23" s="12">
        <v>45677</v>
      </c>
      <c r="B23" s="14">
        <v>1.7762674072915037</v>
      </c>
      <c r="C23" s="14">
        <v>1.25</v>
      </c>
    </row>
    <row r="24" spans="1:3" ht="18" x14ac:dyDescent="0.35">
      <c r="A24" s="11"/>
      <c r="B24" s="11"/>
      <c r="C24" s="11"/>
    </row>
  </sheetData>
  <sheetProtection algorithmName="SHA-512" hashValue="P9GkRbfMBU1GYqyDEYF2ihdp1WcoFC5dE1a7elcpIJnE43suaUrv/7x62YzIIpKiBYpGd29vSuHC9Yj8DakuTA==" saltValue="HaSDxikp6z9xn+ixKbAFcQ==" spinCount="100000" sheet="1" objects="1" scenarios="1"/>
  <mergeCells count="2">
    <mergeCell ref="AL8:AO8"/>
    <mergeCell ref="AL7:AO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A7132C-6538-417D-BFD0-36195452E9AB}">
          <x14:formula1>
            <xm:f>Player_List!$A$2:$A$11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Match_data</vt:lpstr>
      <vt:lpstr>Player_List</vt:lpstr>
      <vt:lpstr>Player_Trend_Analysis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Netritva Patel</dc:creator>
  <cp:lastModifiedBy>Netritva Patel</cp:lastModifiedBy>
  <dcterms:created xsi:type="dcterms:W3CDTF">2015-06-05T18:17:20Z</dcterms:created>
  <dcterms:modified xsi:type="dcterms:W3CDTF">2026-01-04T17:30:17Z</dcterms:modified>
</cp:coreProperties>
</file>